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Items" sheetId="2" state="visible" r:id="rId2"/>
    <sheet name="Analysis_Table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sz val="12"/>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1" fillId="2" borderId="0" applyAlignment="1" pivotButton="0" quotePrefix="0" xfId="0">
      <alignment vertical="center" wrapText="1"/>
    </xf>
    <xf numFmtId="164" fontId="0" fillId="0" borderId="0" pivotButton="0" quotePrefix="0" xfId="0"/>
    <xf numFmtId="2" fontId="0" fillId="0" borderId="0" pivotButton="0" quotePrefix="0" xfId="0"/>
    <xf numFmtId="0" fontId="2" fillId="0" borderId="0" pivotButton="0" quotePrefix="0" xfId="0"/>
  </cellXfs>
  <cellStyles count="1">
    <cellStyle name="Normal" xfId="0" builtinId="0" hidden="0"/>
  </cellStyles>
  <dxfs count="3">
    <dxf>
      <fill>
        <patternFill patternType="solid">
          <bgColor rgb="00F8CBAD"/>
        </patternFill>
      </fill>
    </dxf>
    <dxf>
      <fill>
        <patternFill patternType="solid">
          <bgColor rgb="00FFE699"/>
        </patternFill>
      </fill>
    </dxf>
    <dxf>
      <fill>
        <patternFill patternType="solid">
          <b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rightToLeft="1" workbookViewId="0">
      <selection activeCell="A1" sqref="A1"/>
    </sheetView>
  </sheetViews>
  <sheetFormatPr baseColWidth="8" defaultRowHeight="15"/>
  <cols>
    <col width="10" customWidth="1" min="1" max="1"/>
    <col width="48" customWidth="1" min="2" max="2"/>
    <col width="12" customWidth="1" min="3" max="3"/>
    <col width="70" customWidth="1" min="4" max="4"/>
  </cols>
  <sheetData>
    <row r="1">
      <c r="A1" s="1" t="inlineStr">
        <is>
          <t>الرمز</t>
        </is>
      </c>
      <c r="B1" s="1" t="inlineStr">
        <is>
          <t>البند</t>
        </is>
      </c>
      <c r="C1" s="1" t="inlineStr">
        <is>
          <t>القيمة</t>
        </is>
      </c>
      <c r="D1" s="1" t="inlineStr">
        <is>
          <t>المصدر / ملاحظة</t>
        </is>
      </c>
    </row>
    <row r="2">
      <c r="A2" t="inlineStr">
        <is>
          <t>VAT</t>
        </is>
      </c>
      <c r="B2" t="inlineStr">
        <is>
          <t>ضريبة القيمة المضافة</t>
        </is>
      </c>
      <c r="C2" s="2" t="n">
        <v>0.15</v>
      </c>
      <c r="D2" t="inlineStr">
        <is>
          <t>مقرر نظاماً (ليس من العقد) - الأسعار مفترضة شاملة الضريبة</t>
        </is>
      </c>
    </row>
    <row r="3">
      <c r="A3" t="inlineStr">
        <is>
          <t>COM</t>
        </is>
      </c>
      <c r="B3" t="inlineStr">
        <is>
          <t>عمولة هنقرستيشن (توصيل/استلام)</t>
        </is>
      </c>
      <c r="C3" s="2" t="n">
        <v>0.21</v>
      </c>
      <c r="D3" t="inlineStr">
        <is>
          <t>عقد ص4 البند خامساً-أ</t>
        </is>
      </c>
    </row>
    <row r="4">
      <c r="A4" t="inlineStr">
        <is>
          <t>PAY</t>
        </is>
      </c>
      <c r="B4" t="inlineStr">
        <is>
          <t>عمولة الدفع الإلكتروني</t>
        </is>
      </c>
      <c r="C4" s="2" t="n">
        <v>0.025</v>
      </c>
      <c r="D4" t="inlineStr">
        <is>
          <t>عقد ص4 البند خامساً-أ</t>
        </is>
      </c>
    </row>
    <row r="5">
      <c r="A5" t="inlineStr">
        <is>
          <t>ESH</t>
        </is>
      </c>
      <c r="B5" t="inlineStr">
        <is>
          <t>نسبة الطلبات المدفوعة إلكترونياً</t>
        </is>
      </c>
      <c r="C5" s="2" t="n">
        <v>1</v>
      </c>
      <c r="D5" t="inlineStr">
        <is>
          <t>افتراض متحفظ: 100% (غير محدد في العقد)</t>
        </is>
      </c>
    </row>
    <row r="6">
      <c r="A6" t="inlineStr">
        <is>
          <t>HPLUS</t>
        </is>
      </c>
      <c r="B6" t="inlineStr">
        <is>
          <t>إضافة HPlus لكل طلب (ريال)</t>
        </is>
      </c>
      <c r="C6" s="2" t="n">
        <v>4</v>
      </c>
      <c r="D6" t="inlineStr">
        <is>
          <t>عقد ص6</t>
        </is>
      </c>
    </row>
    <row r="7">
      <c r="A7" t="inlineStr">
        <is>
          <t>FOOD</t>
        </is>
      </c>
      <c r="B7" t="inlineStr">
        <is>
          <t>تكلفة الطعام % من سعر البيع المباشر بدون ضريبة</t>
        </is>
      </c>
      <c r="C7" s="2" t="n">
        <v>0.32</v>
      </c>
      <c r="D7" t="inlineStr">
        <is>
          <t>افتراض - يجب استبداله بتكلفة الوصفات</t>
        </is>
      </c>
    </row>
    <row r="8">
      <c r="A8" t="inlineStr">
        <is>
          <t>PKG</t>
        </is>
      </c>
      <c r="B8" t="inlineStr">
        <is>
          <t>تغليف لكل طلب (ريال)</t>
        </is>
      </c>
      <c r="C8" s="2" t="n">
        <v>2</v>
      </c>
      <c r="D8" t="inlineStr">
        <is>
          <t>افتراض - يجب استبداله</t>
        </is>
      </c>
    </row>
    <row r="9">
      <c r="A9" t="inlineStr">
        <is>
          <t>PMAX</t>
        </is>
      </c>
      <c r="B9" t="inlineStr">
        <is>
          <t>سقف حصة المطعم من خصم الاستلام (ريال)</t>
        </is>
      </c>
      <c r="C9" s="2" t="n">
        <v>2.5</v>
      </c>
      <c r="D9" t="inlineStr">
        <is>
          <t>عقد ص5</t>
        </is>
      </c>
    </row>
    <row r="10">
      <c r="A10" t="inlineStr">
        <is>
          <t>PDISC</t>
        </is>
      </c>
      <c r="B10" t="inlineStr">
        <is>
          <t>خصم العميل على الاستلام</t>
        </is>
      </c>
      <c r="C10" s="2" t="n">
        <v>0.2</v>
      </c>
      <c r="D10" t="inlineStr">
        <is>
          <t>عقد ص5 ("يبدأ من 20%" ويحق لهنقرستيشن تغييره)</t>
        </is>
      </c>
    </row>
    <row r="11">
      <c r="A11" t="inlineStr">
        <is>
          <t>U30</t>
        </is>
      </c>
      <c r="B11" t="inlineStr">
        <is>
          <t>تكلفة التوصيل لسلة أقل من 30 ريال</t>
        </is>
      </c>
      <c r="C11" s="2" t="n">
        <v>7</v>
      </c>
      <c r="D11" t="inlineStr">
        <is>
          <t>غير مذكورة بالعقد - افتراض (أقل شريحة)</t>
        </is>
      </c>
    </row>
    <row r="12">
      <c r="A12" t="inlineStr">
        <is>
          <t>SUB</t>
        </is>
      </c>
      <c r="B12" t="inlineStr">
        <is>
          <t>الاشتراك الشهري (ريال)</t>
        </is>
      </c>
      <c r="C12" s="2" t="n">
        <v>200</v>
      </c>
      <c r="D12" t="inlineStr">
        <is>
          <t>عقد ص4: 200 من 01/10/2026 إلى 01/02/2027 (غامض: شهري أم إجمالي)</t>
        </is>
      </c>
    </row>
    <row r="13">
      <c r="A13" t="inlineStr">
        <is>
          <t>PRN</t>
        </is>
      </c>
      <c r="B13" t="inlineStr">
        <is>
          <t>طابعة V2s مرة واحدة (ريال)</t>
        </is>
      </c>
      <c r="C13" s="2" t="n">
        <v>500</v>
      </c>
      <c r="D13" t="inlineStr">
        <is>
          <t>عقد ص4</t>
        </is>
      </c>
    </row>
    <row r="15">
      <c r="B15" t="inlineStr">
        <is>
          <t>شرائح تكلفة التوصيل (حسب قيمة السلة شاملة الضريبة)</t>
        </is>
      </c>
    </row>
    <row r="16">
      <c r="A16" t="inlineStr">
        <is>
          <t>من (ريال)</t>
        </is>
      </c>
      <c r="B16" t="inlineStr">
        <is>
          <t>تكلفة التوصيل (ريال)</t>
        </is>
      </c>
    </row>
    <row r="17">
      <c r="A17" t="n">
        <v>30</v>
      </c>
      <c r="B17" t="n">
        <v>7</v>
      </c>
    </row>
    <row r="18">
      <c r="A18" t="n">
        <v>40</v>
      </c>
      <c r="B18" t="n">
        <v>8</v>
      </c>
    </row>
    <row r="19">
      <c r="A19" t="n">
        <v>50</v>
      </c>
      <c r="B19" t="n">
        <v>9</v>
      </c>
    </row>
    <row r="20">
      <c r="A20" t="n">
        <v>60</v>
      </c>
      <c r="B20" t="n">
        <v>11</v>
      </c>
    </row>
    <row r="21">
      <c r="A21" t="n">
        <v>80</v>
      </c>
      <c r="B21"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7"/>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2" max="2"/>
    <col width="60" customWidth="1" min="27" max="27"/>
  </cols>
  <sheetData>
    <row r="1" ht="60" customHeight="1">
      <c r="A1" s="3" t="inlineStr">
        <is>
          <t>#</t>
        </is>
      </c>
      <c r="B1" s="3" t="inlineStr">
        <is>
          <t>الصنف</t>
        </is>
      </c>
      <c r="C1" s="3" t="inlineStr">
        <is>
          <t>القسم</t>
        </is>
      </c>
      <c r="D1" s="3" t="inlineStr">
        <is>
          <t>سعر المطعم الحالي (Excel عمود D)</t>
        </is>
      </c>
      <c r="E1" s="3" t="inlineStr">
        <is>
          <t>سعر هنقرستيشن المقترح (Excel عمود F)</t>
        </is>
      </c>
      <c r="F1" s="3" t="inlineStr">
        <is>
          <t>نسبة الزيادة</t>
        </is>
      </c>
      <c r="G1" s="3" t="inlineStr">
        <is>
          <t>ضريبة 15% المضمنة في السعر</t>
        </is>
      </c>
      <c r="H1" s="3" t="inlineStr">
        <is>
          <t>عمولة 21%</t>
        </is>
      </c>
      <c r="I1" s="3" t="inlineStr">
        <is>
          <t>رسوم الدفع 2.5%</t>
        </is>
      </c>
      <c r="J1" s="3" t="inlineStr">
        <is>
          <t>تكلفة التوصيل (شريحة - طلب منفرد)</t>
        </is>
      </c>
      <c r="K1" s="3" t="inlineStr">
        <is>
          <t>إجمالي خصومات المنصة</t>
        </is>
      </c>
      <c r="L1" s="3" t="inlineStr">
        <is>
          <t>الصافي للمطعم قبل التكلفة (بعد الضريبة)</t>
        </is>
      </c>
      <c r="M1" s="3" t="inlineStr">
        <is>
          <t>الصافي % من سعر المطعم</t>
        </is>
      </c>
      <c r="N1" s="3" t="inlineStr">
        <is>
          <t>الصافي % من سعر HS</t>
        </is>
      </c>
      <c r="O1" s="3" t="inlineStr">
        <is>
          <t>الصافي % من البيع المباشر (بدون ضريبة)</t>
        </is>
      </c>
      <c r="P1" s="3" t="inlineStr">
        <is>
          <t>صافي طلب HPlus</t>
        </is>
      </c>
      <c r="Q1" s="3" t="inlineStr">
        <is>
          <t>أقصى تكلفة طعام+تغليف قبل الخسارة</t>
        </is>
      </c>
      <c r="R1" s="3" t="inlineStr">
        <is>
          <t>تكلفة طعام+تغليف (افتراض)</t>
        </is>
      </c>
      <c r="S1" s="3" t="inlineStr">
        <is>
          <t>هامش المساهمة (CM)</t>
        </is>
      </c>
      <c r="T1" s="3" t="inlineStr">
        <is>
          <t>CM % من سعر HS بدون ضريبة</t>
        </is>
      </c>
      <c r="U1" s="3" t="inlineStr">
        <is>
          <t>التصنيف</t>
        </is>
      </c>
      <c r="V1" s="3" t="inlineStr">
        <is>
          <t>CM البيع المباشر</t>
        </is>
      </c>
      <c r="W1" s="3" t="inlineStr">
        <is>
          <t>الفرق عن البيع المباشر</t>
        </is>
      </c>
      <c r="X1" s="3" t="inlineStr">
        <is>
          <t>صافي طلب الاستلام (Pickup)</t>
        </is>
      </c>
      <c r="Y1" s="3" t="inlineStr">
        <is>
          <t>سعر المنيو المطبوع</t>
        </is>
      </c>
      <c r="Z1" s="3" t="inlineStr">
        <is>
          <t>سعر HS ÷ سعر المنيو - 1</t>
        </is>
      </c>
      <c r="AA1" s="3" t="inlineStr">
        <is>
          <t>ملاحظة</t>
        </is>
      </c>
    </row>
    <row r="2">
      <c r="A2" t="n">
        <v>1</v>
      </c>
      <c r="B2" t="inlineStr">
        <is>
          <t>نفر حنيد بيتنا</t>
        </is>
      </c>
      <c r="C2" t="inlineStr">
        <is>
          <t xml:space="preserve">اطباق الرئيسية </t>
        </is>
      </c>
      <c r="D2" t="n">
        <v>105</v>
      </c>
      <c r="E2" t="n">
        <v>126</v>
      </c>
      <c r="F2" s="4">
        <f>E2/D2-1</f>
        <v/>
      </c>
      <c r="G2" s="5">
        <f>E2*Assumptions!$C$2/(1+Assumptions!$C$2)</f>
        <v/>
      </c>
      <c r="H2" s="5">
        <f>E2*Assumptions!$C$3</f>
        <v/>
      </c>
      <c r="I2" s="5">
        <f>E2*Assumptions!$C$4*Assumptions!$C$5</f>
        <v/>
      </c>
      <c r="J2" s="5">
        <f>IF(E2&lt;30,Assumptions!$C$11,LOOKUP(E2,Assumptions!$A$17:$A$21,Assumptions!$B$17:$B$21))</f>
        <v/>
      </c>
      <c r="K2" s="5">
        <f>H2+I2+J2</f>
        <v/>
      </c>
      <c r="L2" s="5">
        <f>E2-G2-K2</f>
        <v/>
      </c>
      <c r="M2" s="4">
        <f>L2/D2</f>
        <v/>
      </c>
      <c r="N2" s="4">
        <f>L2/E2</f>
        <v/>
      </c>
      <c r="O2" s="4">
        <f>L2/(D2/(1+Assumptions!$C$2))</f>
        <v/>
      </c>
      <c r="P2" s="5">
        <f>L2-Assumptions!$C$6</f>
        <v/>
      </c>
      <c r="Q2" s="5">
        <f>L2</f>
        <v/>
      </c>
      <c r="R2" s="5">
        <f>Assumptions!$C$7*D2/(1+Assumptions!$C$2)+Assumptions!$C$8</f>
        <v/>
      </c>
      <c r="S2" s="5">
        <f>L2-R2</f>
        <v/>
      </c>
      <c r="T2" s="4">
        <f>S2/(E2/(1+Assumptions!$C$2))</f>
        <v/>
      </c>
      <c r="U2">
        <f>IF(T2&lt;0.15,"RED",IF(T2&lt;0.3,"YELLOW","GREEN"))</f>
        <v/>
      </c>
      <c r="V2" s="5">
        <f>D2/(1+Assumptions!$C$2)-R2</f>
        <v/>
      </c>
      <c r="W2" s="5">
        <f>S2-V2</f>
        <v/>
      </c>
      <c r="X2" s="5">
        <f>E2-G2-E2*Assumptions!$C$3-E2*Assumptions!$C$4*Assumptions!$C$5-MIN(Assumptions!$C$9,Assumptions!$C$10*E2)</f>
        <v/>
      </c>
      <c r="Y2" t="n">
        <v>80</v>
      </c>
      <c r="Z2" s="4">
        <f>IF(Y2="","",E2/Y2-1)</f>
        <v/>
      </c>
    </row>
    <row r="3">
      <c r="A3" t="n">
        <v>2</v>
      </c>
      <c r="B3" t="inlineStr">
        <is>
          <t>حنيذ جيزاني</t>
        </is>
      </c>
      <c r="D3" t="n">
        <v>100</v>
      </c>
      <c r="E3" t="n">
        <v>120</v>
      </c>
      <c r="F3" s="4">
        <f>E3/D3-1</f>
        <v/>
      </c>
      <c r="G3" s="5">
        <f>E3*Assumptions!$C$2/(1+Assumptions!$C$2)</f>
        <v/>
      </c>
      <c r="H3" s="5">
        <f>E3*Assumptions!$C$3</f>
        <v/>
      </c>
      <c r="I3" s="5">
        <f>E3*Assumptions!$C$4*Assumptions!$C$5</f>
        <v/>
      </c>
      <c r="J3" s="5">
        <f>IF(E3&lt;30,Assumptions!$C$11,LOOKUP(E3,Assumptions!$A$17:$A$21,Assumptions!$B$17:$B$21))</f>
        <v/>
      </c>
      <c r="K3" s="5">
        <f>H3+I3+J3</f>
        <v/>
      </c>
      <c r="L3" s="5">
        <f>E3-G3-K3</f>
        <v/>
      </c>
      <c r="M3" s="4">
        <f>L3/D3</f>
        <v/>
      </c>
      <c r="N3" s="4">
        <f>L3/E3</f>
        <v/>
      </c>
      <c r="O3" s="4">
        <f>L3/(D3/(1+Assumptions!$C$2))</f>
        <v/>
      </c>
      <c r="P3" s="5">
        <f>L3-Assumptions!$C$6</f>
        <v/>
      </c>
      <c r="Q3" s="5">
        <f>L3</f>
        <v/>
      </c>
      <c r="R3" s="5">
        <f>Assumptions!$C$7*D3/(1+Assumptions!$C$2)+Assumptions!$C$8</f>
        <v/>
      </c>
      <c r="S3" s="5">
        <f>L3-R3</f>
        <v/>
      </c>
      <c r="T3" s="4">
        <f>S3/(E3/(1+Assumptions!$C$2))</f>
        <v/>
      </c>
      <c r="U3">
        <f>IF(T3&lt;0.15,"RED",IF(T3&lt;0.3,"YELLOW","GREEN"))</f>
        <v/>
      </c>
      <c r="V3" s="5">
        <f>D3/(1+Assumptions!$C$2)-R3</f>
        <v/>
      </c>
      <c r="W3" s="5">
        <f>S3-V3</f>
        <v/>
      </c>
      <c r="X3" s="5">
        <f>E3-G3-E3*Assumptions!$C$3-E3*Assumptions!$C$4*Assumptions!$C$5-MIN(Assumptions!$C$9,Assumptions!$C$10*E3)</f>
        <v/>
      </c>
      <c r="Y3" t="n">
        <v>77</v>
      </c>
      <c r="Z3" s="4">
        <f>IF(Y3="","",E3/Y3-1)</f>
        <v/>
      </c>
    </row>
    <row r="4">
      <c r="A4" t="n">
        <v>3</v>
      </c>
      <c r="B4" t="inlineStr">
        <is>
          <t>كبسة لحم</t>
        </is>
      </c>
      <c r="D4" t="n">
        <v>98</v>
      </c>
      <c r="E4" t="n">
        <v>117.6</v>
      </c>
      <c r="F4" s="4">
        <f>E4/D4-1</f>
        <v/>
      </c>
      <c r="G4" s="5">
        <f>E4*Assumptions!$C$2/(1+Assumptions!$C$2)</f>
        <v/>
      </c>
      <c r="H4" s="5">
        <f>E4*Assumptions!$C$3</f>
        <v/>
      </c>
      <c r="I4" s="5">
        <f>E4*Assumptions!$C$4*Assumptions!$C$5</f>
        <v/>
      </c>
      <c r="J4" s="5">
        <f>IF(E4&lt;30,Assumptions!$C$11,LOOKUP(E4,Assumptions!$A$17:$A$21,Assumptions!$B$17:$B$21))</f>
        <v/>
      </c>
      <c r="K4" s="5">
        <f>H4+I4+J4</f>
        <v/>
      </c>
      <c r="L4" s="5">
        <f>E4-G4-K4</f>
        <v/>
      </c>
      <c r="M4" s="4">
        <f>L4/D4</f>
        <v/>
      </c>
      <c r="N4" s="4">
        <f>L4/E4</f>
        <v/>
      </c>
      <c r="O4" s="4">
        <f>L4/(D4/(1+Assumptions!$C$2))</f>
        <v/>
      </c>
      <c r="P4" s="5">
        <f>L4-Assumptions!$C$6</f>
        <v/>
      </c>
      <c r="Q4" s="5">
        <f>L4</f>
        <v/>
      </c>
      <c r="R4" s="5">
        <f>Assumptions!$C$7*D4/(1+Assumptions!$C$2)+Assumptions!$C$8</f>
        <v/>
      </c>
      <c r="S4" s="5">
        <f>L4-R4</f>
        <v/>
      </c>
      <c r="T4" s="4">
        <f>S4/(E4/(1+Assumptions!$C$2))</f>
        <v/>
      </c>
      <c r="U4">
        <f>IF(T4&lt;0.15,"RED",IF(T4&lt;0.3,"YELLOW","GREEN"))</f>
        <v/>
      </c>
      <c r="V4" s="5">
        <f>D4/(1+Assumptions!$C$2)-R4</f>
        <v/>
      </c>
      <c r="W4" s="5">
        <f>S4-V4</f>
        <v/>
      </c>
      <c r="X4" s="5">
        <f>E4-G4-E4*Assumptions!$C$3-E4*Assumptions!$C$4*Assumptions!$C$5-MIN(Assumptions!$C$9,Assumptions!$C$10*E4)</f>
        <v/>
      </c>
      <c r="Y4" t="n">
        <v>75</v>
      </c>
      <c r="Z4" s="4">
        <f>IF(Y4="","",E4/Y4-1)</f>
        <v/>
      </c>
    </row>
    <row r="5">
      <c r="A5" t="n">
        <v>4</v>
      </c>
      <c r="B5" t="inlineStr">
        <is>
          <t>برمة لحم مع الرز</t>
        </is>
      </c>
      <c r="D5" t="n">
        <v>48</v>
      </c>
      <c r="E5" t="n">
        <v>57.6</v>
      </c>
      <c r="F5" s="4">
        <f>E5/D5-1</f>
        <v/>
      </c>
      <c r="G5" s="5">
        <f>E5*Assumptions!$C$2/(1+Assumptions!$C$2)</f>
        <v/>
      </c>
      <c r="H5" s="5">
        <f>E5*Assumptions!$C$3</f>
        <v/>
      </c>
      <c r="I5" s="5">
        <f>E5*Assumptions!$C$4*Assumptions!$C$5</f>
        <v/>
      </c>
      <c r="J5" s="5">
        <f>IF(E5&lt;30,Assumptions!$C$11,LOOKUP(E5,Assumptions!$A$17:$A$21,Assumptions!$B$17:$B$21))</f>
        <v/>
      </c>
      <c r="K5" s="5">
        <f>H5+I5+J5</f>
        <v/>
      </c>
      <c r="L5" s="5">
        <f>E5-G5-K5</f>
        <v/>
      </c>
      <c r="M5" s="4">
        <f>L5/D5</f>
        <v/>
      </c>
      <c r="N5" s="4">
        <f>L5/E5</f>
        <v/>
      </c>
      <c r="O5" s="4">
        <f>L5/(D5/(1+Assumptions!$C$2))</f>
        <v/>
      </c>
      <c r="P5" s="5">
        <f>L5-Assumptions!$C$6</f>
        <v/>
      </c>
      <c r="Q5" s="5">
        <f>L5</f>
        <v/>
      </c>
      <c r="R5" s="5">
        <f>Assumptions!$C$7*D5/(1+Assumptions!$C$2)+Assumptions!$C$8</f>
        <v/>
      </c>
      <c r="S5" s="5">
        <f>L5-R5</f>
        <v/>
      </c>
      <c r="T5" s="4">
        <f>S5/(E5/(1+Assumptions!$C$2))</f>
        <v/>
      </c>
      <c r="U5">
        <f>IF(T5&lt;0.15,"RED",IF(T5&lt;0.3,"YELLOW","GREEN"))</f>
        <v/>
      </c>
      <c r="V5" s="5">
        <f>D5/(1+Assumptions!$C$2)-R5</f>
        <v/>
      </c>
      <c r="W5" s="5">
        <f>S5-V5</f>
        <v/>
      </c>
      <c r="X5" s="5">
        <f>E5-G5-E5*Assumptions!$C$3-E5*Assumptions!$C$4*Assumptions!$C$5-MIN(Assumptions!$C$9,Assumptions!$C$10*E5)</f>
        <v/>
      </c>
      <c r="Y5" t="n">
        <v>36</v>
      </c>
      <c r="Z5" s="4">
        <f>IF(Y5="","",E5/Y5-1)</f>
        <v/>
      </c>
    </row>
    <row r="6">
      <c r="A6" t="n">
        <v>5</v>
      </c>
      <c r="B6" t="inlineStr">
        <is>
          <t>مغش لحم</t>
        </is>
      </c>
      <c r="D6" t="n">
        <v>59</v>
      </c>
      <c r="E6" t="n">
        <v>70.8</v>
      </c>
      <c r="F6" s="4">
        <f>E6/D6-1</f>
        <v/>
      </c>
      <c r="G6" s="5">
        <f>E6*Assumptions!$C$2/(1+Assumptions!$C$2)</f>
        <v/>
      </c>
      <c r="H6" s="5">
        <f>E6*Assumptions!$C$3</f>
        <v/>
      </c>
      <c r="I6" s="5">
        <f>E6*Assumptions!$C$4*Assumptions!$C$5</f>
        <v/>
      </c>
      <c r="J6" s="5">
        <f>IF(E6&lt;30,Assumptions!$C$11,LOOKUP(E6,Assumptions!$A$17:$A$21,Assumptions!$B$17:$B$21))</f>
        <v/>
      </c>
      <c r="K6" s="5">
        <f>H6+I6+J6</f>
        <v/>
      </c>
      <c r="L6" s="5">
        <f>E6-G6-K6</f>
        <v/>
      </c>
      <c r="M6" s="4">
        <f>L6/D6</f>
        <v/>
      </c>
      <c r="N6" s="4">
        <f>L6/E6</f>
        <v/>
      </c>
      <c r="O6" s="4">
        <f>L6/(D6/(1+Assumptions!$C$2))</f>
        <v/>
      </c>
      <c r="P6" s="5">
        <f>L6-Assumptions!$C$6</f>
        <v/>
      </c>
      <c r="Q6" s="5">
        <f>L6</f>
        <v/>
      </c>
      <c r="R6" s="5">
        <f>Assumptions!$C$7*D6/(1+Assumptions!$C$2)+Assumptions!$C$8</f>
        <v/>
      </c>
      <c r="S6" s="5">
        <f>L6-R6</f>
        <v/>
      </c>
      <c r="T6" s="4">
        <f>S6/(E6/(1+Assumptions!$C$2))</f>
        <v/>
      </c>
      <c r="U6">
        <f>IF(T6&lt;0.15,"RED",IF(T6&lt;0.3,"YELLOW","GREEN"))</f>
        <v/>
      </c>
      <c r="V6" s="5">
        <f>D6/(1+Assumptions!$C$2)-R6</f>
        <v/>
      </c>
      <c r="W6" s="5">
        <f>S6-V6</f>
        <v/>
      </c>
      <c r="X6" s="5">
        <f>E6-G6-E6*Assumptions!$C$3-E6*Assumptions!$C$4*Assumptions!$C$5-MIN(Assumptions!$C$9,Assumptions!$C$10*E6)</f>
        <v/>
      </c>
      <c r="Y6" t="n">
        <v>45</v>
      </c>
      <c r="Z6" s="4">
        <f>IF(Y6="","",E6/Y6-1)</f>
        <v/>
      </c>
    </row>
    <row r="7">
      <c r="A7" t="n">
        <v>6</v>
      </c>
      <c r="B7" t="inlineStr">
        <is>
          <t>ربع شواية مع الرز</t>
        </is>
      </c>
      <c r="D7" t="n">
        <v>19</v>
      </c>
      <c r="E7" t="n">
        <v>22.8</v>
      </c>
      <c r="F7" s="4">
        <f>E7/D7-1</f>
        <v/>
      </c>
      <c r="G7" s="5">
        <f>E7*Assumptions!$C$2/(1+Assumptions!$C$2)</f>
        <v/>
      </c>
      <c r="H7" s="5">
        <f>E7*Assumptions!$C$3</f>
        <v/>
      </c>
      <c r="I7" s="5">
        <f>E7*Assumptions!$C$4*Assumptions!$C$5</f>
        <v/>
      </c>
      <c r="J7" s="5">
        <f>IF(E7&lt;30,Assumptions!$C$11,LOOKUP(E7,Assumptions!$A$17:$A$21,Assumptions!$B$17:$B$21))</f>
        <v/>
      </c>
      <c r="K7" s="5">
        <f>H7+I7+J7</f>
        <v/>
      </c>
      <c r="L7" s="5">
        <f>E7-G7-K7</f>
        <v/>
      </c>
      <c r="M7" s="4">
        <f>L7/D7</f>
        <v/>
      </c>
      <c r="N7" s="4">
        <f>L7/E7</f>
        <v/>
      </c>
      <c r="O7" s="4">
        <f>L7/(D7/(1+Assumptions!$C$2))</f>
        <v/>
      </c>
      <c r="P7" s="5">
        <f>L7-Assumptions!$C$6</f>
        <v/>
      </c>
      <c r="Q7" s="5">
        <f>L7</f>
        <v/>
      </c>
      <c r="R7" s="5">
        <f>Assumptions!$C$7*D7/(1+Assumptions!$C$2)+Assumptions!$C$8</f>
        <v/>
      </c>
      <c r="S7" s="5">
        <f>L7-R7</f>
        <v/>
      </c>
      <c r="T7" s="4">
        <f>S7/(E7/(1+Assumptions!$C$2))</f>
        <v/>
      </c>
      <c r="U7">
        <f>IF(T7&lt;0.15,"RED",IF(T7&lt;0.3,"YELLOW","GREEN"))</f>
        <v/>
      </c>
      <c r="V7" s="5">
        <f>D7/(1+Assumptions!$C$2)-R7</f>
        <v/>
      </c>
      <c r="W7" s="5">
        <f>S7-V7</f>
        <v/>
      </c>
      <c r="X7" s="5">
        <f>E7-G7-E7*Assumptions!$C$3-E7*Assumptions!$C$4*Assumptions!$C$5-MIN(Assumptions!$C$9,Assumptions!$C$10*E7)</f>
        <v/>
      </c>
      <c r="Y7" t="n">
        <v>14</v>
      </c>
      <c r="Z7" s="4">
        <f>IF(Y7="","",E7/Y7-1)</f>
        <v/>
      </c>
    </row>
    <row r="8">
      <c r="A8" t="n">
        <v>7</v>
      </c>
      <c r="B8" t="inlineStr">
        <is>
          <t>نص شواية مع الرز</t>
        </is>
      </c>
      <c r="D8" t="n">
        <v>27</v>
      </c>
      <c r="E8" t="n">
        <v>32.4</v>
      </c>
      <c r="F8" s="4">
        <f>E8/D8-1</f>
        <v/>
      </c>
      <c r="G8" s="5">
        <f>E8*Assumptions!$C$2/(1+Assumptions!$C$2)</f>
        <v/>
      </c>
      <c r="H8" s="5">
        <f>E8*Assumptions!$C$3</f>
        <v/>
      </c>
      <c r="I8" s="5">
        <f>E8*Assumptions!$C$4*Assumptions!$C$5</f>
        <v/>
      </c>
      <c r="J8" s="5">
        <f>IF(E8&lt;30,Assumptions!$C$11,LOOKUP(E8,Assumptions!$A$17:$A$21,Assumptions!$B$17:$B$21))</f>
        <v/>
      </c>
      <c r="K8" s="5">
        <f>H8+I8+J8</f>
        <v/>
      </c>
      <c r="L8" s="5">
        <f>E8-G8-K8</f>
        <v/>
      </c>
      <c r="M8" s="4">
        <f>L8/D8</f>
        <v/>
      </c>
      <c r="N8" s="4">
        <f>L8/E8</f>
        <v/>
      </c>
      <c r="O8" s="4">
        <f>L8/(D8/(1+Assumptions!$C$2))</f>
        <v/>
      </c>
      <c r="P8" s="5">
        <f>L8-Assumptions!$C$6</f>
        <v/>
      </c>
      <c r="Q8" s="5">
        <f>L8</f>
        <v/>
      </c>
      <c r="R8" s="5">
        <f>Assumptions!$C$7*D8/(1+Assumptions!$C$2)+Assumptions!$C$8</f>
        <v/>
      </c>
      <c r="S8" s="5">
        <f>L8-R8</f>
        <v/>
      </c>
      <c r="T8" s="4">
        <f>S8/(E8/(1+Assumptions!$C$2))</f>
        <v/>
      </c>
      <c r="U8">
        <f>IF(T8&lt;0.15,"RED",IF(T8&lt;0.3,"YELLOW","GREEN"))</f>
        <v/>
      </c>
      <c r="V8" s="5">
        <f>D8/(1+Assumptions!$C$2)-R8</f>
        <v/>
      </c>
      <c r="W8" s="5">
        <f>S8-V8</f>
        <v/>
      </c>
      <c r="X8" s="5">
        <f>E8-G8-E8*Assumptions!$C$3-E8*Assumptions!$C$4*Assumptions!$C$5-MIN(Assumptions!$C$9,Assumptions!$C$10*E8)</f>
        <v/>
      </c>
      <c r="Y8" t="n">
        <v>21</v>
      </c>
      <c r="Z8" s="4">
        <f>IF(Y8="","",E8/Y8-1)</f>
        <v/>
      </c>
    </row>
    <row r="9">
      <c r="A9" t="n">
        <v>8</v>
      </c>
      <c r="B9" t="inlineStr">
        <is>
          <t>حبه شوايه مع الرز</t>
        </is>
      </c>
      <c r="D9" t="n">
        <v>55</v>
      </c>
      <c r="E9" t="n">
        <v>66</v>
      </c>
      <c r="F9" s="4">
        <f>E9/D9-1</f>
        <v/>
      </c>
      <c r="G9" s="5">
        <f>E9*Assumptions!$C$2/(1+Assumptions!$C$2)</f>
        <v/>
      </c>
      <c r="H9" s="5">
        <f>E9*Assumptions!$C$3</f>
        <v/>
      </c>
      <c r="I9" s="5">
        <f>E9*Assumptions!$C$4*Assumptions!$C$5</f>
        <v/>
      </c>
      <c r="J9" s="5">
        <f>IF(E9&lt;30,Assumptions!$C$11,LOOKUP(E9,Assumptions!$A$17:$A$21,Assumptions!$B$17:$B$21))</f>
        <v/>
      </c>
      <c r="K9" s="5">
        <f>H9+I9+J9</f>
        <v/>
      </c>
      <c r="L9" s="5">
        <f>E9-G9-K9</f>
        <v/>
      </c>
      <c r="M9" s="4">
        <f>L9/D9</f>
        <v/>
      </c>
      <c r="N9" s="4">
        <f>L9/E9</f>
        <v/>
      </c>
      <c r="O9" s="4">
        <f>L9/(D9/(1+Assumptions!$C$2))</f>
        <v/>
      </c>
      <c r="P9" s="5">
        <f>L9-Assumptions!$C$6</f>
        <v/>
      </c>
      <c r="Q9" s="5">
        <f>L9</f>
        <v/>
      </c>
      <c r="R9" s="5">
        <f>Assumptions!$C$7*D9/(1+Assumptions!$C$2)+Assumptions!$C$8</f>
        <v/>
      </c>
      <c r="S9" s="5">
        <f>L9-R9</f>
        <v/>
      </c>
      <c r="T9" s="4">
        <f>S9/(E9/(1+Assumptions!$C$2))</f>
        <v/>
      </c>
      <c r="U9">
        <f>IF(T9&lt;0.15,"RED",IF(T9&lt;0.3,"YELLOW","GREEN"))</f>
        <v/>
      </c>
      <c r="V9" s="5">
        <f>D9/(1+Assumptions!$C$2)-R9</f>
        <v/>
      </c>
      <c r="W9" s="5">
        <f>S9-V9</f>
        <v/>
      </c>
      <c r="X9" s="5">
        <f>E9-G9-E9*Assumptions!$C$3-E9*Assumptions!$C$4*Assumptions!$C$5-MIN(Assumptions!$C$9,Assumptions!$C$10*E9)</f>
        <v/>
      </c>
      <c r="Y9" t="n">
        <v>42</v>
      </c>
      <c r="Z9" s="4">
        <f>IF(Y9="","",E9/Y9-1)</f>
        <v/>
      </c>
    </row>
    <row r="10">
      <c r="A10" t="n">
        <v>9</v>
      </c>
      <c r="B10" t="inlineStr">
        <is>
          <t>حبه مقلوبه مع الرز</t>
        </is>
      </c>
      <c r="D10" t="n">
        <v>55</v>
      </c>
      <c r="E10" t="n">
        <v>66</v>
      </c>
      <c r="F10" s="4">
        <f>E10/D10-1</f>
        <v/>
      </c>
      <c r="G10" s="5">
        <f>E10*Assumptions!$C$2/(1+Assumptions!$C$2)</f>
        <v/>
      </c>
      <c r="H10" s="5">
        <f>E10*Assumptions!$C$3</f>
        <v/>
      </c>
      <c r="I10" s="5">
        <f>E10*Assumptions!$C$4*Assumptions!$C$5</f>
        <v/>
      </c>
      <c r="J10" s="5">
        <f>IF(E10&lt;30,Assumptions!$C$11,LOOKUP(E10,Assumptions!$A$17:$A$21,Assumptions!$B$17:$B$21))</f>
        <v/>
      </c>
      <c r="K10" s="5">
        <f>H10+I10+J10</f>
        <v/>
      </c>
      <c r="L10" s="5">
        <f>E10-G10-K10</f>
        <v/>
      </c>
      <c r="M10" s="4">
        <f>L10/D10</f>
        <v/>
      </c>
      <c r="N10" s="4">
        <f>L10/E10</f>
        <v/>
      </c>
      <c r="O10" s="4">
        <f>L10/(D10/(1+Assumptions!$C$2))</f>
        <v/>
      </c>
      <c r="P10" s="5">
        <f>L10-Assumptions!$C$6</f>
        <v/>
      </c>
      <c r="Q10" s="5">
        <f>L10</f>
        <v/>
      </c>
      <c r="R10" s="5">
        <f>Assumptions!$C$7*D10/(1+Assumptions!$C$2)+Assumptions!$C$8</f>
        <v/>
      </c>
      <c r="S10" s="5">
        <f>L10-R10</f>
        <v/>
      </c>
      <c r="T10" s="4">
        <f>S10/(E10/(1+Assumptions!$C$2))</f>
        <v/>
      </c>
      <c r="U10">
        <f>IF(T10&lt;0.15,"RED",IF(T10&lt;0.3,"YELLOW","GREEN"))</f>
        <v/>
      </c>
      <c r="V10" s="5">
        <f>D10/(1+Assumptions!$C$2)-R10</f>
        <v/>
      </c>
      <c r="W10" s="5">
        <f>S10-V10</f>
        <v/>
      </c>
      <c r="X10" s="5">
        <f>E10-G10-E10*Assumptions!$C$3-E10*Assumptions!$C$4*Assumptions!$C$5-MIN(Assumptions!$C$9,Assumptions!$C$10*E10)</f>
        <v/>
      </c>
      <c r="Z10" s="4">
        <f>IF(Y10="","",E10/Y10-1)</f>
        <v/>
      </c>
      <c r="AA10" t="inlineStr">
        <is>
          <t>الصنف غير موجود في المنيو المطبوع</t>
        </is>
      </c>
    </row>
    <row r="11">
      <c r="A11" t="n">
        <v>10</v>
      </c>
      <c r="B11" t="inlineStr">
        <is>
          <t>نص مضغوط</t>
        </is>
      </c>
      <c r="D11" t="n">
        <v>27</v>
      </c>
      <c r="E11" t="n">
        <v>32.4</v>
      </c>
      <c r="F11" s="4">
        <f>E11/D11-1</f>
        <v/>
      </c>
      <c r="G11" s="5">
        <f>E11*Assumptions!$C$2/(1+Assumptions!$C$2)</f>
        <v/>
      </c>
      <c r="H11" s="5">
        <f>E11*Assumptions!$C$3</f>
        <v/>
      </c>
      <c r="I11" s="5">
        <f>E11*Assumptions!$C$4*Assumptions!$C$5</f>
        <v/>
      </c>
      <c r="J11" s="5">
        <f>IF(E11&lt;30,Assumptions!$C$11,LOOKUP(E11,Assumptions!$A$17:$A$21,Assumptions!$B$17:$B$21))</f>
        <v/>
      </c>
      <c r="K11" s="5">
        <f>H11+I11+J11</f>
        <v/>
      </c>
      <c r="L11" s="5">
        <f>E11-G11-K11</f>
        <v/>
      </c>
      <c r="M11" s="4">
        <f>L11/D11</f>
        <v/>
      </c>
      <c r="N11" s="4">
        <f>L11/E11</f>
        <v/>
      </c>
      <c r="O11" s="4">
        <f>L11/(D11/(1+Assumptions!$C$2))</f>
        <v/>
      </c>
      <c r="P11" s="5">
        <f>L11-Assumptions!$C$6</f>
        <v/>
      </c>
      <c r="Q11" s="5">
        <f>L11</f>
        <v/>
      </c>
      <c r="R11" s="5">
        <f>Assumptions!$C$7*D11/(1+Assumptions!$C$2)+Assumptions!$C$8</f>
        <v/>
      </c>
      <c r="S11" s="5">
        <f>L11-R11</f>
        <v/>
      </c>
      <c r="T11" s="4">
        <f>S11/(E11/(1+Assumptions!$C$2))</f>
        <v/>
      </c>
      <c r="U11">
        <f>IF(T11&lt;0.15,"RED",IF(T11&lt;0.3,"YELLOW","GREEN"))</f>
        <v/>
      </c>
      <c r="V11" s="5">
        <f>D11/(1+Assumptions!$C$2)-R11</f>
        <v/>
      </c>
      <c r="W11" s="5">
        <f>S11-V11</f>
        <v/>
      </c>
      <c r="X11" s="5">
        <f>E11-G11-E11*Assumptions!$C$3-E11*Assumptions!$C$4*Assumptions!$C$5-MIN(Assumptions!$C$9,Assumptions!$C$10*E11)</f>
        <v/>
      </c>
      <c r="Y11" t="n">
        <v>21</v>
      </c>
      <c r="Z11" s="4">
        <f>IF(Y11="","",E11/Y11-1)</f>
        <v/>
      </c>
    </row>
    <row r="12">
      <c r="A12" t="n">
        <v>11</v>
      </c>
      <c r="B12" t="inlineStr">
        <is>
          <t>نص ميفى مع الرز</t>
        </is>
      </c>
      <c r="D12" t="n">
        <v>27</v>
      </c>
      <c r="E12" t="n">
        <v>32.4</v>
      </c>
      <c r="F12" s="4">
        <f>E12/D12-1</f>
        <v/>
      </c>
      <c r="G12" s="5">
        <f>E12*Assumptions!$C$2/(1+Assumptions!$C$2)</f>
        <v/>
      </c>
      <c r="H12" s="5">
        <f>E12*Assumptions!$C$3</f>
        <v/>
      </c>
      <c r="I12" s="5">
        <f>E12*Assumptions!$C$4*Assumptions!$C$5</f>
        <v/>
      </c>
      <c r="J12" s="5">
        <f>IF(E12&lt;30,Assumptions!$C$11,LOOKUP(E12,Assumptions!$A$17:$A$21,Assumptions!$B$17:$B$21))</f>
        <v/>
      </c>
      <c r="K12" s="5">
        <f>H12+I12+J12</f>
        <v/>
      </c>
      <c r="L12" s="5">
        <f>E12-G12-K12</f>
        <v/>
      </c>
      <c r="M12" s="4">
        <f>L12/D12</f>
        <v/>
      </c>
      <c r="N12" s="4">
        <f>L12/E12</f>
        <v/>
      </c>
      <c r="O12" s="4">
        <f>L12/(D12/(1+Assumptions!$C$2))</f>
        <v/>
      </c>
      <c r="P12" s="5">
        <f>L12-Assumptions!$C$6</f>
        <v/>
      </c>
      <c r="Q12" s="5">
        <f>L12</f>
        <v/>
      </c>
      <c r="R12" s="5">
        <f>Assumptions!$C$7*D12/(1+Assumptions!$C$2)+Assumptions!$C$8</f>
        <v/>
      </c>
      <c r="S12" s="5">
        <f>L12-R12</f>
        <v/>
      </c>
      <c r="T12" s="4">
        <f>S12/(E12/(1+Assumptions!$C$2))</f>
        <v/>
      </c>
      <c r="U12">
        <f>IF(T12&lt;0.15,"RED",IF(T12&lt;0.3,"YELLOW","GREEN"))</f>
        <v/>
      </c>
      <c r="V12" s="5">
        <f>D12/(1+Assumptions!$C$2)-R12</f>
        <v/>
      </c>
      <c r="W12" s="5">
        <f>S12-V12</f>
        <v/>
      </c>
      <c r="X12" s="5">
        <f>E12-G12-E12*Assumptions!$C$3-E12*Assumptions!$C$4*Assumptions!$C$5-MIN(Assumptions!$C$9,Assumptions!$C$10*E12)</f>
        <v/>
      </c>
      <c r="Y12" t="n">
        <v>21</v>
      </c>
      <c r="Z12" s="4">
        <f>IF(Y12="","",E12/Y12-1)</f>
        <v/>
      </c>
    </row>
    <row r="13">
      <c r="A13" t="n">
        <v>12</v>
      </c>
      <c r="B13" t="inlineStr">
        <is>
          <t>نص شواية سادة</t>
        </is>
      </c>
      <c r="D13" t="n">
        <v>20</v>
      </c>
      <c r="E13" t="n">
        <v>24</v>
      </c>
      <c r="F13" s="4">
        <f>E13/D13-1</f>
        <v/>
      </c>
      <c r="G13" s="5">
        <f>E13*Assumptions!$C$2/(1+Assumptions!$C$2)</f>
        <v/>
      </c>
      <c r="H13" s="5">
        <f>E13*Assumptions!$C$3</f>
        <v/>
      </c>
      <c r="I13" s="5">
        <f>E13*Assumptions!$C$4*Assumptions!$C$5</f>
        <v/>
      </c>
      <c r="J13" s="5">
        <f>IF(E13&lt;30,Assumptions!$C$11,LOOKUP(E13,Assumptions!$A$17:$A$21,Assumptions!$B$17:$B$21))</f>
        <v/>
      </c>
      <c r="K13" s="5">
        <f>H13+I13+J13</f>
        <v/>
      </c>
      <c r="L13" s="5">
        <f>E13-G13-K13</f>
        <v/>
      </c>
      <c r="M13" s="4">
        <f>L13/D13</f>
        <v/>
      </c>
      <c r="N13" s="4">
        <f>L13/E13</f>
        <v/>
      </c>
      <c r="O13" s="4">
        <f>L13/(D13/(1+Assumptions!$C$2))</f>
        <v/>
      </c>
      <c r="P13" s="5">
        <f>L13-Assumptions!$C$6</f>
        <v/>
      </c>
      <c r="Q13" s="5">
        <f>L13</f>
        <v/>
      </c>
      <c r="R13" s="5">
        <f>Assumptions!$C$7*D13/(1+Assumptions!$C$2)+Assumptions!$C$8</f>
        <v/>
      </c>
      <c r="S13" s="5">
        <f>L13-R13</f>
        <v/>
      </c>
      <c r="T13" s="4">
        <f>S13/(E13/(1+Assumptions!$C$2))</f>
        <v/>
      </c>
      <c r="U13">
        <f>IF(T13&lt;0.15,"RED",IF(T13&lt;0.3,"YELLOW","GREEN"))</f>
        <v/>
      </c>
      <c r="V13" s="5">
        <f>D13/(1+Assumptions!$C$2)-R13</f>
        <v/>
      </c>
      <c r="W13" s="5">
        <f>S13-V13</f>
        <v/>
      </c>
      <c r="X13" s="5">
        <f>E13-G13-E13*Assumptions!$C$3-E13*Assumptions!$C$4*Assumptions!$C$5-MIN(Assumptions!$C$9,Assumptions!$C$10*E13)</f>
        <v/>
      </c>
      <c r="Y13" t="n">
        <v>15</v>
      </c>
      <c r="Z13" s="4">
        <f>IF(Y13="","",E13/Y13-1)</f>
        <v/>
      </c>
    </row>
    <row r="14">
      <c r="A14" t="n">
        <v>13</v>
      </c>
      <c r="B14" t="inlineStr">
        <is>
          <t>نص ميفى سادة</t>
        </is>
      </c>
      <c r="D14" t="n">
        <v>20</v>
      </c>
      <c r="E14" t="n">
        <v>24</v>
      </c>
      <c r="F14" s="4">
        <f>E14/D14-1</f>
        <v/>
      </c>
      <c r="G14" s="5">
        <f>E14*Assumptions!$C$2/(1+Assumptions!$C$2)</f>
        <v/>
      </c>
      <c r="H14" s="5">
        <f>E14*Assumptions!$C$3</f>
        <v/>
      </c>
      <c r="I14" s="5">
        <f>E14*Assumptions!$C$4*Assumptions!$C$5</f>
        <v/>
      </c>
      <c r="J14" s="5">
        <f>IF(E14&lt;30,Assumptions!$C$11,LOOKUP(E14,Assumptions!$A$17:$A$21,Assumptions!$B$17:$B$21))</f>
        <v/>
      </c>
      <c r="K14" s="5">
        <f>H14+I14+J14</f>
        <v/>
      </c>
      <c r="L14" s="5">
        <f>E14-G14-K14</f>
        <v/>
      </c>
      <c r="M14" s="4">
        <f>L14/D14</f>
        <v/>
      </c>
      <c r="N14" s="4">
        <f>L14/E14</f>
        <v/>
      </c>
      <c r="O14" s="4">
        <f>L14/(D14/(1+Assumptions!$C$2))</f>
        <v/>
      </c>
      <c r="P14" s="5">
        <f>L14-Assumptions!$C$6</f>
        <v/>
      </c>
      <c r="Q14" s="5">
        <f>L14</f>
        <v/>
      </c>
      <c r="R14" s="5">
        <f>Assumptions!$C$7*D14/(1+Assumptions!$C$2)+Assumptions!$C$8</f>
        <v/>
      </c>
      <c r="S14" s="5">
        <f>L14-R14</f>
        <v/>
      </c>
      <c r="T14" s="4">
        <f>S14/(E14/(1+Assumptions!$C$2))</f>
        <v/>
      </c>
      <c r="U14">
        <f>IF(T14&lt;0.15,"RED",IF(T14&lt;0.3,"YELLOW","GREEN"))</f>
        <v/>
      </c>
      <c r="V14" s="5">
        <f>D14/(1+Assumptions!$C$2)-R14</f>
        <v/>
      </c>
      <c r="W14" s="5">
        <f>S14-V14</f>
        <v/>
      </c>
      <c r="X14" s="5">
        <f>E14-G14-E14*Assumptions!$C$3-E14*Assumptions!$C$4*Assumptions!$C$5-MIN(Assumptions!$C$9,Assumptions!$C$10*E14)</f>
        <v/>
      </c>
      <c r="Y14" t="n">
        <v>15</v>
      </c>
      <c r="Z14" s="4">
        <f>IF(Y14="","",E14/Y14-1)</f>
        <v/>
      </c>
    </row>
    <row r="15">
      <c r="A15" t="n">
        <v>14</v>
      </c>
      <c r="B15" t="inlineStr">
        <is>
          <t>حبة ميفى</t>
        </is>
      </c>
      <c r="D15" t="n">
        <v>55</v>
      </c>
      <c r="E15" t="n">
        <v>66</v>
      </c>
      <c r="F15" s="4">
        <f>E15/D15-1</f>
        <v/>
      </c>
      <c r="G15" s="5">
        <f>E15*Assumptions!$C$2/(1+Assumptions!$C$2)</f>
        <v/>
      </c>
      <c r="H15" s="5">
        <f>E15*Assumptions!$C$3</f>
        <v/>
      </c>
      <c r="I15" s="5">
        <f>E15*Assumptions!$C$4*Assumptions!$C$5</f>
        <v/>
      </c>
      <c r="J15" s="5">
        <f>IF(E15&lt;30,Assumptions!$C$11,LOOKUP(E15,Assumptions!$A$17:$A$21,Assumptions!$B$17:$B$21))</f>
        <v/>
      </c>
      <c r="K15" s="5">
        <f>H15+I15+J15</f>
        <v/>
      </c>
      <c r="L15" s="5">
        <f>E15-G15-K15</f>
        <v/>
      </c>
      <c r="M15" s="4">
        <f>L15/D15</f>
        <v/>
      </c>
      <c r="N15" s="4">
        <f>L15/E15</f>
        <v/>
      </c>
      <c r="O15" s="4">
        <f>L15/(D15/(1+Assumptions!$C$2))</f>
        <v/>
      </c>
      <c r="P15" s="5">
        <f>L15-Assumptions!$C$6</f>
        <v/>
      </c>
      <c r="Q15" s="5">
        <f>L15</f>
        <v/>
      </c>
      <c r="R15" s="5">
        <f>Assumptions!$C$7*D15/(1+Assumptions!$C$2)+Assumptions!$C$8</f>
        <v/>
      </c>
      <c r="S15" s="5">
        <f>L15-R15</f>
        <v/>
      </c>
      <c r="T15" s="4">
        <f>S15/(E15/(1+Assumptions!$C$2))</f>
        <v/>
      </c>
      <c r="U15">
        <f>IF(T15&lt;0.15,"RED",IF(T15&lt;0.3,"YELLOW","GREEN"))</f>
        <v/>
      </c>
      <c r="V15" s="5">
        <f>D15/(1+Assumptions!$C$2)-R15</f>
        <v/>
      </c>
      <c r="W15" s="5">
        <f>S15-V15</f>
        <v/>
      </c>
      <c r="X15" s="5">
        <f>E15-G15-E15*Assumptions!$C$3-E15*Assumptions!$C$4*Assumptions!$C$5-MIN(Assumptions!$C$9,Assumptions!$C$10*E15)</f>
        <v/>
      </c>
      <c r="Y15" t="n">
        <v>42</v>
      </c>
      <c r="Z15" s="4">
        <f>IF(Y15="","",E15/Y15-1)</f>
        <v/>
      </c>
    </row>
    <row r="16">
      <c r="A16" t="n">
        <v>15</v>
      </c>
      <c r="B16" t="inlineStr">
        <is>
          <t>حبة مضغوط</t>
        </is>
      </c>
      <c r="D16" t="n">
        <v>55</v>
      </c>
      <c r="E16" t="n">
        <v>66</v>
      </c>
      <c r="F16" s="4">
        <f>E16/D16-1</f>
        <v/>
      </c>
      <c r="G16" s="5">
        <f>E16*Assumptions!$C$2/(1+Assumptions!$C$2)</f>
        <v/>
      </c>
      <c r="H16" s="5">
        <f>E16*Assumptions!$C$3</f>
        <v/>
      </c>
      <c r="I16" s="5">
        <f>E16*Assumptions!$C$4*Assumptions!$C$5</f>
        <v/>
      </c>
      <c r="J16" s="5">
        <f>IF(E16&lt;30,Assumptions!$C$11,LOOKUP(E16,Assumptions!$A$17:$A$21,Assumptions!$B$17:$B$21))</f>
        <v/>
      </c>
      <c r="K16" s="5">
        <f>H16+I16+J16</f>
        <v/>
      </c>
      <c r="L16" s="5">
        <f>E16-G16-K16</f>
        <v/>
      </c>
      <c r="M16" s="4">
        <f>L16/D16</f>
        <v/>
      </c>
      <c r="N16" s="4">
        <f>L16/E16</f>
        <v/>
      </c>
      <c r="O16" s="4">
        <f>L16/(D16/(1+Assumptions!$C$2))</f>
        <v/>
      </c>
      <c r="P16" s="5">
        <f>L16-Assumptions!$C$6</f>
        <v/>
      </c>
      <c r="Q16" s="5">
        <f>L16</f>
        <v/>
      </c>
      <c r="R16" s="5">
        <f>Assumptions!$C$7*D16/(1+Assumptions!$C$2)+Assumptions!$C$8</f>
        <v/>
      </c>
      <c r="S16" s="5">
        <f>L16-R16</f>
        <v/>
      </c>
      <c r="T16" s="4">
        <f>S16/(E16/(1+Assumptions!$C$2))</f>
        <v/>
      </c>
      <c r="U16">
        <f>IF(T16&lt;0.15,"RED",IF(T16&lt;0.3,"YELLOW","GREEN"))</f>
        <v/>
      </c>
      <c r="V16" s="5">
        <f>D16/(1+Assumptions!$C$2)-R16</f>
        <v/>
      </c>
      <c r="W16" s="5">
        <f>S16-V16</f>
        <v/>
      </c>
      <c r="X16" s="5">
        <f>E16-G16-E16*Assumptions!$C$3-E16*Assumptions!$C$4*Assumptions!$C$5-MIN(Assumptions!$C$9,Assumptions!$C$10*E16)</f>
        <v/>
      </c>
      <c r="Y16" t="n">
        <v>42</v>
      </c>
      <c r="Z16" s="4">
        <f>IF(Y16="","",E16/Y16-1)</f>
        <v/>
      </c>
    </row>
    <row r="17">
      <c r="A17" t="n">
        <v>16</v>
      </c>
      <c r="B17" t="inlineStr">
        <is>
          <t>نص مقلوبه</t>
        </is>
      </c>
      <c r="D17" t="n">
        <v>27</v>
      </c>
      <c r="E17" t="n">
        <v>32.4</v>
      </c>
      <c r="F17" s="4">
        <f>E17/D17-1</f>
        <v/>
      </c>
      <c r="G17" s="5">
        <f>E17*Assumptions!$C$2/(1+Assumptions!$C$2)</f>
        <v/>
      </c>
      <c r="H17" s="5">
        <f>E17*Assumptions!$C$3</f>
        <v/>
      </c>
      <c r="I17" s="5">
        <f>E17*Assumptions!$C$4*Assumptions!$C$5</f>
        <v/>
      </c>
      <c r="J17" s="5">
        <f>IF(E17&lt;30,Assumptions!$C$11,LOOKUP(E17,Assumptions!$A$17:$A$21,Assumptions!$B$17:$B$21))</f>
        <v/>
      </c>
      <c r="K17" s="5">
        <f>H17+I17+J17</f>
        <v/>
      </c>
      <c r="L17" s="5">
        <f>E17-G17-K17</f>
        <v/>
      </c>
      <c r="M17" s="4">
        <f>L17/D17</f>
        <v/>
      </c>
      <c r="N17" s="4">
        <f>L17/E17</f>
        <v/>
      </c>
      <c r="O17" s="4">
        <f>L17/(D17/(1+Assumptions!$C$2))</f>
        <v/>
      </c>
      <c r="P17" s="5">
        <f>L17-Assumptions!$C$6</f>
        <v/>
      </c>
      <c r="Q17" s="5">
        <f>L17</f>
        <v/>
      </c>
      <c r="R17" s="5">
        <f>Assumptions!$C$7*D17/(1+Assumptions!$C$2)+Assumptions!$C$8</f>
        <v/>
      </c>
      <c r="S17" s="5">
        <f>L17-R17</f>
        <v/>
      </c>
      <c r="T17" s="4">
        <f>S17/(E17/(1+Assumptions!$C$2))</f>
        <v/>
      </c>
      <c r="U17">
        <f>IF(T17&lt;0.15,"RED",IF(T17&lt;0.3,"YELLOW","GREEN"))</f>
        <v/>
      </c>
      <c r="V17" s="5">
        <f>D17/(1+Assumptions!$C$2)-R17</f>
        <v/>
      </c>
      <c r="W17" s="5">
        <f>S17-V17</f>
        <v/>
      </c>
      <c r="X17" s="5">
        <f>E17-G17-E17*Assumptions!$C$3-E17*Assumptions!$C$4*Assumptions!$C$5-MIN(Assumptions!$C$9,Assumptions!$C$10*E17)</f>
        <v/>
      </c>
      <c r="Y17" t="n">
        <v>21</v>
      </c>
      <c r="Z17" s="4">
        <f>IF(Y17="","",E17/Y17-1)</f>
        <v/>
      </c>
    </row>
    <row r="18">
      <c r="A18" t="n">
        <v>17</v>
      </c>
      <c r="B18" t="inlineStr">
        <is>
          <t>لحوح مكشن</t>
        </is>
      </c>
      <c r="D18" t="n">
        <v>25</v>
      </c>
      <c r="E18" t="n">
        <v>30</v>
      </c>
      <c r="F18" s="4">
        <f>E18/D18-1</f>
        <v/>
      </c>
      <c r="G18" s="5">
        <f>E18*Assumptions!$C$2/(1+Assumptions!$C$2)</f>
        <v/>
      </c>
      <c r="H18" s="5">
        <f>E18*Assumptions!$C$3</f>
        <v/>
      </c>
      <c r="I18" s="5">
        <f>E18*Assumptions!$C$4*Assumptions!$C$5</f>
        <v/>
      </c>
      <c r="J18" s="5">
        <f>IF(E18&lt;30,Assumptions!$C$11,LOOKUP(E18,Assumptions!$A$17:$A$21,Assumptions!$B$17:$B$21))</f>
        <v/>
      </c>
      <c r="K18" s="5">
        <f>H18+I18+J18</f>
        <v/>
      </c>
      <c r="L18" s="5">
        <f>E18-G18-K18</f>
        <v/>
      </c>
      <c r="M18" s="4">
        <f>L18/D18</f>
        <v/>
      </c>
      <c r="N18" s="4">
        <f>L18/E18</f>
        <v/>
      </c>
      <c r="O18" s="4">
        <f>L18/(D18/(1+Assumptions!$C$2))</f>
        <v/>
      </c>
      <c r="P18" s="5">
        <f>L18-Assumptions!$C$6</f>
        <v/>
      </c>
      <c r="Q18" s="5">
        <f>L18</f>
        <v/>
      </c>
      <c r="R18" s="5">
        <f>Assumptions!$C$7*D18/(1+Assumptions!$C$2)+Assumptions!$C$8</f>
        <v/>
      </c>
      <c r="S18" s="5">
        <f>L18-R18</f>
        <v/>
      </c>
      <c r="T18" s="4">
        <f>S18/(E18/(1+Assumptions!$C$2))</f>
        <v/>
      </c>
      <c r="U18">
        <f>IF(T18&lt;0.15,"RED",IF(T18&lt;0.3,"YELLOW","GREEN"))</f>
        <v/>
      </c>
      <c r="V18" s="5">
        <f>D18/(1+Assumptions!$C$2)-R18</f>
        <v/>
      </c>
      <c r="W18" s="5">
        <f>S18-V18</f>
        <v/>
      </c>
      <c r="X18" s="5">
        <f>E18-G18-E18*Assumptions!$C$3-E18*Assumptions!$C$4*Assumptions!$C$5-MIN(Assumptions!$C$9,Assumptions!$C$10*E18)</f>
        <v/>
      </c>
      <c r="Y18" t="n">
        <v>18</v>
      </c>
      <c r="Z18" s="4">
        <f>IF(Y18="","",E18/Y18-1)</f>
        <v/>
      </c>
    </row>
    <row r="19">
      <c r="A19" t="n">
        <v>18</v>
      </c>
      <c r="B19" t="inlineStr">
        <is>
          <t>مرقوق بيتنا لحم</t>
        </is>
      </c>
      <c r="C19" t="inlineStr">
        <is>
          <t>المروق</t>
        </is>
      </c>
      <c r="D19" t="n">
        <v>65</v>
      </c>
      <c r="E19" t="n">
        <v>78</v>
      </c>
      <c r="F19" s="4">
        <f>E19/D19-1</f>
        <v/>
      </c>
      <c r="G19" s="5">
        <f>E19*Assumptions!$C$2/(1+Assumptions!$C$2)</f>
        <v/>
      </c>
      <c r="H19" s="5">
        <f>E19*Assumptions!$C$3</f>
        <v/>
      </c>
      <c r="I19" s="5">
        <f>E19*Assumptions!$C$4*Assumptions!$C$5</f>
        <v/>
      </c>
      <c r="J19" s="5">
        <f>IF(E19&lt;30,Assumptions!$C$11,LOOKUP(E19,Assumptions!$A$17:$A$21,Assumptions!$B$17:$B$21))</f>
        <v/>
      </c>
      <c r="K19" s="5">
        <f>H19+I19+J19</f>
        <v/>
      </c>
      <c r="L19" s="5">
        <f>E19-G19-K19</f>
        <v/>
      </c>
      <c r="M19" s="4">
        <f>L19/D19</f>
        <v/>
      </c>
      <c r="N19" s="4">
        <f>L19/E19</f>
        <v/>
      </c>
      <c r="O19" s="4">
        <f>L19/(D19/(1+Assumptions!$C$2))</f>
        <v/>
      </c>
      <c r="P19" s="5">
        <f>L19-Assumptions!$C$6</f>
        <v/>
      </c>
      <c r="Q19" s="5">
        <f>L19</f>
        <v/>
      </c>
      <c r="R19" s="5">
        <f>Assumptions!$C$7*D19/(1+Assumptions!$C$2)+Assumptions!$C$8</f>
        <v/>
      </c>
      <c r="S19" s="5">
        <f>L19-R19</f>
        <v/>
      </c>
      <c r="T19" s="4">
        <f>S19/(E19/(1+Assumptions!$C$2))</f>
        <v/>
      </c>
      <c r="U19">
        <f>IF(T19&lt;0.15,"RED",IF(T19&lt;0.3,"YELLOW","GREEN"))</f>
        <v/>
      </c>
      <c r="V19" s="5">
        <f>D19/(1+Assumptions!$C$2)-R19</f>
        <v/>
      </c>
      <c r="W19" s="5">
        <f>S19-V19</f>
        <v/>
      </c>
      <c r="X19" s="5">
        <f>E19-G19-E19*Assumptions!$C$3-E19*Assumptions!$C$4*Assumptions!$C$5-MIN(Assumptions!$C$9,Assumptions!$C$10*E19)</f>
        <v/>
      </c>
      <c r="Y19" t="n">
        <v>50</v>
      </c>
      <c r="Z19" s="4">
        <f>IF(Y19="","",E19/Y19-1)</f>
        <v/>
      </c>
    </row>
    <row r="20">
      <c r="A20" t="n">
        <v>19</v>
      </c>
      <c r="B20" t="inlineStr">
        <is>
          <t>مرقوق بيتنا</t>
        </is>
      </c>
      <c r="D20" t="n">
        <v>35</v>
      </c>
      <c r="E20" t="n">
        <v>42</v>
      </c>
      <c r="F20" s="4">
        <f>E20/D20-1</f>
        <v/>
      </c>
      <c r="G20" s="5">
        <f>E20*Assumptions!$C$2/(1+Assumptions!$C$2)</f>
        <v/>
      </c>
      <c r="H20" s="5">
        <f>E20*Assumptions!$C$3</f>
        <v/>
      </c>
      <c r="I20" s="5">
        <f>E20*Assumptions!$C$4*Assumptions!$C$5</f>
        <v/>
      </c>
      <c r="J20" s="5">
        <f>IF(E20&lt;30,Assumptions!$C$11,LOOKUP(E20,Assumptions!$A$17:$A$21,Assumptions!$B$17:$B$21))</f>
        <v/>
      </c>
      <c r="K20" s="5">
        <f>H20+I20+J20</f>
        <v/>
      </c>
      <c r="L20" s="5">
        <f>E20-G20-K20</f>
        <v/>
      </c>
      <c r="M20" s="4">
        <f>L20/D20</f>
        <v/>
      </c>
      <c r="N20" s="4">
        <f>L20/E20</f>
        <v/>
      </c>
      <c r="O20" s="4">
        <f>L20/(D20/(1+Assumptions!$C$2))</f>
        <v/>
      </c>
      <c r="P20" s="5">
        <f>L20-Assumptions!$C$6</f>
        <v/>
      </c>
      <c r="Q20" s="5">
        <f>L20</f>
        <v/>
      </c>
      <c r="R20" s="5">
        <f>Assumptions!$C$7*D20/(1+Assumptions!$C$2)+Assumptions!$C$8</f>
        <v/>
      </c>
      <c r="S20" s="5">
        <f>L20-R20</f>
        <v/>
      </c>
      <c r="T20" s="4">
        <f>S20/(E20/(1+Assumptions!$C$2))</f>
        <v/>
      </c>
      <c r="U20">
        <f>IF(T20&lt;0.15,"RED",IF(T20&lt;0.3,"YELLOW","GREEN"))</f>
        <v/>
      </c>
      <c r="V20" s="5">
        <f>D20/(1+Assumptions!$C$2)-R20</f>
        <v/>
      </c>
      <c r="W20" s="5">
        <f>S20-V20</f>
        <v/>
      </c>
      <c r="X20" s="5">
        <f>E20-G20-E20*Assumptions!$C$3-E20*Assumptions!$C$4*Assumptions!$C$5-MIN(Assumptions!$C$9,Assumptions!$C$10*E20)</f>
        <v/>
      </c>
      <c r="Y20" t="n">
        <v>27</v>
      </c>
      <c r="Z20" s="4">
        <f>IF(Y20="","",E20/Y20-1)</f>
        <v/>
      </c>
    </row>
    <row r="21">
      <c r="A21" t="n">
        <v>20</v>
      </c>
      <c r="B21" t="inlineStr">
        <is>
          <t>مرسه بلدي</t>
        </is>
      </c>
      <c r="D21" t="n">
        <v>33</v>
      </c>
      <c r="E21" t="n">
        <v>39.6</v>
      </c>
      <c r="F21" s="4">
        <f>E21/D21-1</f>
        <v/>
      </c>
      <c r="G21" s="5">
        <f>E21*Assumptions!$C$2/(1+Assumptions!$C$2)</f>
        <v/>
      </c>
      <c r="H21" s="5">
        <f>E21*Assumptions!$C$3</f>
        <v/>
      </c>
      <c r="I21" s="5">
        <f>E21*Assumptions!$C$4*Assumptions!$C$5</f>
        <v/>
      </c>
      <c r="J21" s="5">
        <f>IF(E21&lt;30,Assumptions!$C$11,LOOKUP(E21,Assumptions!$A$17:$A$21,Assumptions!$B$17:$B$21))</f>
        <v/>
      </c>
      <c r="K21" s="5">
        <f>H21+I21+J21</f>
        <v/>
      </c>
      <c r="L21" s="5">
        <f>E21-G21-K21</f>
        <v/>
      </c>
      <c r="M21" s="4">
        <f>L21/D21</f>
        <v/>
      </c>
      <c r="N21" s="4">
        <f>L21/E21</f>
        <v/>
      </c>
      <c r="O21" s="4">
        <f>L21/(D21/(1+Assumptions!$C$2))</f>
        <v/>
      </c>
      <c r="P21" s="5">
        <f>L21-Assumptions!$C$6</f>
        <v/>
      </c>
      <c r="Q21" s="5">
        <f>L21</f>
        <v/>
      </c>
      <c r="R21" s="5">
        <f>Assumptions!$C$7*D21/(1+Assumptions!$C$2)+Assumptions!$C$8</f>
        <v/>
      </c>
      <c r="S21" s="5">
        <f>L21-R21</f>
        <v/>
      </c>
      <c r="T21" s="4">
        <f>S21/(E21/(1+Assumptions!$C$2))</f>
        <v/>
      </c>
      <c r="U21">
        <f>IF(T21&lt;0.15,"RED",IF(T21&lt;0.3,"YELLOW","GREEN"))</f>
        <v/>
      </c>
      <c r="V21" s="5">
        <f>D21/(1+Assumptions!$C$2)-R21</f>
        <v/>
      </c>
      <c r="W21" s="5">
        <f>S21-V21</f>
        <v/>
      </c>
      <c r="X21" s="5">
        <f>E21-G21-E21*Assumptions!$C$3-E21*Assumptions!$C$4*Assumptions!$C$5-MIN(Assumptions!$C$9,Assumptions!$C$10*E21)</f>
        <v/>
      </c>
      <c r="Y21" t="n">
        <v>25</v>
      </c>
      <c r="Z21" s="4">
        <f>IF(Y21="","",E21/Y21-1)</f>
        <v/>
      </c>
    </row>
    <row r="22">
      <c r="A22" t="n">
        <v>21</v>
      </c>
      <c r="B22" t="inlineStr">
        <is>
          <t>مرسه عادي</t>
        </is>
      </c>
      <c r="D22" t="n">
        <v>13</v>
      </c>
      <c r="E22" t="n">
        <v>15.6</v>
      </c>
      <c r="F22" s="4">
        <f>E22/D22-1</f>
        <v/>
      </c>
      <c r="G22" s="5">
        <f>E22*Assumptions!$C$2/(1+Assumptions!$C$2)</f>
        <v/>
      </c>
      <c r="H22" s="5">
        <f>E22*Assumptions!$C$3</f>
        <v/>
      </c>
      <c r="I22" s="5">
        <f>E22*Assumptions!$C$4*Assumptions!$C$5</f>
        <v/>
      </c>
      <c r="J22" s="5">
        <f>IF(E22&lt;30,Assumptions!$C$11,LOOKUP(E22,Assumptions!$A$17:$A$21,Assumptions!$B$17:$B$21))</f>
        <v/>
      </c>
      <c r="K22" s="5">
        <f>H22+I22+J22</f>
        <v/>
      </c>
      <c r="L22" s="5">
        <f>E22-G22-K22</f>
        <v/>
      </c>
      <c r="M22" s="4">
        <f>L22/D22</f>
        <v/>
      </c>
      <c r="N22" s="4">
        <f>L22/E22</f>
        <v/>
      </c>
      <c r="O22" s="4">
        <f>L22/(D22/(1+Assumptions!$C$2))</f>
        <v/>
      </c>
      <c r="P22" s="5">
        <f>L22-Assumptions!$C$6</f>
        <v/>
      </c>
      <c r="Q22" s="5">
        <f>L22</f>
        <v/>
      </c>
      <c r="R22" s="5">
        <f>Assumptions!$C$7*D22/(1+Assumptions!$C$2)+Assumptions!$C$8</f>
        <v/>
      </c>
      <c r="S22" s="5">
        <f>L22-R22</f>
        <v/>
      </c>
      <c r="T22" s="4">
        <f>S22/(E22/(1+Assumptions!$C$2))</f>
        <v/>
      </c>
      <c r="U22">
        <f>IF(T22&lt;0.15,"RED",IF(T22&lt;0.3,"YELLOW","GREEN"))</f>
        <v/>
      </c>
      <c r="V22" s="5">
        <f>D22/(1+Assumptions!$C$2)-R22</f>
        <v/>
      </c>
      <c r="W22" s="5">
        <f>S22-V22</f>
        <v/>
      </c>
      <c r="X22" s="5">
        <f>E22-G22-E22*Assumptions!$C$3-E22*Assumptions!$C$4*Assumptions!$C$5-MIN(Assumptions!$C$9,Assumptions!$C$10*E22)</f>
        <v/>
      </c>
      <c r="Y22" t="n">
        <v>10</v>
      </c>
      <c r="Z22" s="4">
        <f>IF(Y22="","",E22/Y22-1)</f>
        <v/>
      </c>
    </row>
    <row r="23">
      <c r="A23" t="n">
        <v>22</v>
      </c>
      <c r="B23" t="inlineStr">
        <is>
          <t>مرسة دخن</t>
        </is>
      </c>
      <c r="C23" t="inlineStr">
        <is>
          <t>المرسه والفته</t>
        </is>
      </c>
      <c r="D23" t="n">
        <v>33</v>
      </c>
      <c r="E23" t="n">
        <v>39.6</v>
      </c>
      <c r="F23" s="4">
        <f>E23/D23-1</f>
        <v/>
      </c>
      <c r="G23" s="5">
        <f>E23*Assumptions!$C$2/(1+Assumptions!$C$2)</f>
        <v/>
      </c>
      <c r="H23" s="5">
        <f>E23*Assumptions!$C$3</f>
        <v/>
      </c>
      <c r="I23" s="5">
        <f>E23*Assumptions!$C$4*Assumptions!$C$5</f>
        <v/>
      </c>
      <c r="J23" s="5">
        <f>IF(E23&lt;30,Assumptions!$C$11,LOOKUP(E23,Assumptions!$A$17:$A$21,Assumptions!$B$17:$B$21))</f>
        <v/>
      </c>
      <c r="K23" s="5">
        <f>H23+I23+J23</f>
        <v/>
      </c>
      <c r="L23" s="5">
        <f>E23-G23-K23</f>
        <v/>
      </c>
      <c r="M23" s="4">
        <f>L23/D23</f>
        <v/>
      </c>
      <c r="N23" s="4">
        <f>L23/E23</f>
        <v/>
      </c>
      <c r="O23" s="4">
        <f>L23/(D23/(1+Assumptions!$C$2))</f>
        <v/>
      </c>
      <c r="P23" s="5">
        <f>L23-Assumptions!$C$6</f>
        <v/>
      </c>
      <c r="Q23" s="5">
        <f>L23</f>
        <v/>
      </c>
      <c r="R23" s="5">
        <f>Assumptions!$C$7*D23/(1+Assumptions!$C$2)+Assumptions!$C$8</f>
        <v/>
      </c>
      <c r="S23" s="5">
        <f>L23-R23</f>
        <v/>
      </c>
      <c r="T23" s="4">
        <f>S23/(E23/(1+Assumptions!$C$2))</f>
        <v/>
      </c>
      <c r="U23">
        <f>IF(T23&lt;0.15,"RED",IF(T23&lt;0.3,"YELLOW","GREEN"))</f>
        <v/>
      </c>
      <c r="V23" s="5">
        <f>D23/(1+Assumptions!$C$2)-R23</f>
        <v/>
      </c>
      <c r="W23" s="5">
        <f>S23-V23</f>
        <v/>
      </c>
      <c r="X23" s="5">
        <f>E23-G23-E23*Assumptions!$C$3-E23*Assumptions!$C$4*Assumptions!$C$5-MIN(Assumptions!$C$9,Assumptions!$C$10*E23)</f>
        <v/>
      </c>
      <c r="Z23" s="4">
        <f>IF(Y23="","",E23/Y23-1)</f>
        <v/>
      </c>
      <c r="AA23" t="inlineStr">
        <is>
          <t>الصنف غير موجود في المنيو المطبوع</t>
        </is>
      </c>
    </row>
    <row r="24">
      <c r="A24" t="n">
        <v>23</v>
      </c>
      <c r="B24" t="inlineStr">
        <is>
          <t>فتة حديدي</t>
        </is>
      </c>
      <c r="D24" t="n">
        <v>13</v>
      </c>
      <c r="E24" t="n">
        <v>15.6</v>
      </c>
      <c r="F24" s="4">
        <f>E24/D24-1</f>
        <v/>
      </c>
      <c r="G24" s="5">
        <f>E24*Assumptions!$C$2/(1+Assumptions!$C$2)</f>
        <v/>
      </c>
      <c r="H24" s="5">
        <f>E24*Assumptions!$C$3</f>
        <v/>
      </c>
      <c r="I24" s="5">
        <f>E24*Assumptions!$C$4*Assumptions!$C$5</f>
        <v/>
      </c>
      <c r="J24" s="5">
        <f>IF(E24&lt;30,Assumptions!$C$11,LOOKUP(E24,Assumptions!$A$17:$A$21,Assumptions!$B$17:$B$21))</f>
        <v/>
      </c>
      <c r="K24" s="5">
        <f>H24+I24+J24</f>
        <v/>
      </c>
      <c r="L24" s="5">
        <f>E24-G24-K24</f>
        <v/>
      </c>
      <c r="M24" s="4">
        <f>L24/D24</f>
        <v/>
      </c>
      <c r="N24" s="4">
        <f>L24/E24</f>
        <v/>
      </c>
      <c r="O24" s="4">
        <f>L24/(D24/(1+Assumptions!$C$2))</f>
        <v/>
      </c>
      <c r="P24" s="5">
        <f>L24-Assumptions!$C$6</f>
        <v/>
      </c>
      <c r="Q24" s="5">
        <f>L24</f>
        <v/>
      </c>
      <c r="R24" s="5">
        <f>Assumptions!$C$7*D24/(1+Assumptions!$C$2)+Assumptions!$C$8</f>
        <v/>
      </c>
      <c r="S24" s="5">
        <f>L24-R24</f>
        <v/>
      </c>
      <c r="T24" s="4">
        <f>S24/(E24/(1+Assumptions!$C$2))</f>
        <v/>
      </c>
      <c r="U24">
        <f>IF(T24&lt;0.15,"RED",IF(T24&lt;0.3,"YELLOW","GREEN"))</f>
        <v/>
      </c>
      <c r="V24" s="5">
        <f>D24/(1+Assumptions!$C$2)-R24</f>
        <v/>
      </c>
      <c r="W24" s="5">
        <f>S24-V24</f>
        <v/>
      </c>
      <c r="X24" s="5">
        <f>E24-G24-E24*Assumptions!$C$3-E24*Assumptions!$C$4*Assumptions!$C$5-MIN(Assumptions!$C$9,Assumptions!$C$10*E24)</f>
        <v/>
      </c>
      <c r="Y24" t="n">
        <v>10</v>
      </c>
      <c r="Z24" s="4">
        <f>IF(Y24="","",E24/Y24-1)</f>
        <v/>
      </c>
    </row>
    <row r="25">
      <c r="A25" t="n">
        <v>24</v>
      </c>
      <c r="B25" t="inlineStr">
        <is>
          <t>شفوت</t>
        </is>
      </c>
      <c r="D25" t="n">
        <v>20</v>
      </c>
      <c r="E25" t="n">
        <v>24</v>
      </c>
      <c r="F25" s="4">
        <f>E25/D25-1</f>
        <v/>
      </c>
      <c r="G25" s="5">
        <f>E25*Assumptions!$C$2/(1+Assumptions!$C$2)</f>
        <v/>
      </c>
      <c r="H25" s="5">
        <f>E25*Assumptions!$C$3</f>
        <v/>
      </c>
      <c r="I25" s="5">
        <f>E25*Assumptions!$C$4*Assumptions!$C$5</f>
        <v/>
      </c>
      <c r="J25" s="5">
        <f>IF(E25&lt;30,Assumptions!$C$11,LOOKUP(E25,Assumptions!$A$17:$A$21,Assumptions!$B$17:$B$21))</f>
        <v/>
      </c>
      <c r="K25" s="5">
        <f>H25+I25+J25</f>
        <v/>
      </c>
      <c r="L25" s="5">
        <f>E25-G25-K25</f>
        <v/>
      </c>
      <c r="M25" s="4">
        <f>L25/D25</f>
        <v/>
      </c>
      <c r="N25" s="4">
        <f>L25/E25</f>
        <v/>
      </c>
      <c r="O25" s="4">
        <f>L25/(D25/(1+Assumptions!$C$2))</f>
        <v/>
      </c>
      <c r="P25" s="5">
        <f>L25-Assumptions!$C$6</f>
        <v/>
      </c>
      <c r="Q25" s="5">
        <f>L25</f>
        <v/>
      </c>
      <c r="R25" s="5">
        <f>Assumptions!$C$7*D25/(1+Assumptions!$C$2)+Assumptions!$C$8</f>
        <v/>
      </c>
      <c r="S25" s="5">
        <f>L25-R25</f>
        <v/>
      </c>
      <c r="T25" s="4">
        <f>S25/(E25/(1+Assumptions!$C$2))</f>
        <v/>
      </c>
      <c r="U25">
        <f>IF(T25&lt;0.15,"RED",IF(T25&lt;0.3,"YELLOW","GREEN"))</f>
        <v/>
      </c>
      <c r="V25" s="5">
        <f>D25/(1+Assumptions!$C$2)-R25</f>
        <v/>
      </c>
      <c r="W25" s="5">
        <f>S25-V25</f>
        <v/>
      </c>
      <c r="X25" s="5">
        <f>E25-G25-E25*Assumptions!$C$3-E25*Assumptions!$C$4*Assumptions!$C$5-MIN(Assumptions!$C$9,Assumptions!$C$10*E25)</f>
        <v/>
      </c>
      <c r="Y25" t="n">
        <v>15</v>
      </c>
      <c r="Z25" s="4">
        <f>IF(Y25="","",E25/Y25-1)</f>
        <v/>
      </c>
    </row>
    <row r="26">
      <c r="A26" t="n">
        <v>25</v>
      </c>
      <c r="B26" t="inlineStr">
        <is>
          <t>ملوخية</t>
        </is>
      </c>
      <c r="D26" t="n">
        <v>10</v>
      </c>
      <c r="E26" t="n">
        <v>12</v>
      </c>
      <c r="F26" s="4">
        <f>E26/D26-1</f>
        <v/>
      </c>
      <c r="G26" s="5">
        <f>E26*Assumptions!$C$2/(1+Assumptions!$C$2)</f>
        <v/>
      </c>
      <c r="H26" s="5">
        <f>E26*Assumptions!$C$3</f>
        <v/>
      </c>
      <c r="I26" s="5">
        <f>E26*Assumptions!$C$4*Assumptions!$C$5</f>
        <v/>
      </c>
      <c r="J26" s="5">
        <f>IF(E26&lt;30,Assumptions!$C$11,LOOKUP(E26,Assumptions!$A$17:$A$21,Assumptions!$B$17:$B$21))</f>
        <v/>
      </c>
      <c r="K26" s="5">
        <f>H26+I26+J26</f>
        <v/>
      </c>
      <c r="L26" s="5">
        <f>E26-G26-K26</f>
        <v/>
      </c>
      <c r="M26" s="4">
        <f>L26/D26</f>
        <v/>
      </c>
      <c r="N26" s="4">
        <f>L26/E26</f>
        <v/>
      </c>
      <c r="O26" s="4">
        <f>L26/(D26/(1+Assumptions!$C$2))</f>
        <v/>
      </c>
      <c r="P26" s="5">
        <f>L26-Assumptions!$C$6</f>
        <v/>
      </c>
      <c r="Q26" s="5">
        <f>L26</f>
        <v/>
      </c>
      <c r="R26" s="5">
        <f>Assumptions!$C$7*D26/(1+Assumptions!$C$2)+Assumptions!$C$8</f>
        <v/>
      </c>
      <c r="S26" s="5">
        <f>L26-R26</f>
        <v/>
      </c>
      <c r="T26" s="4">
        <f>S26/(E26/(1+Assumptions!$C$2))</f>
        <v/>
      </c>
      <c r="U26">
        <f>IF(T26&lt;0.15,"RED",IF(T26&lt;0.3,"YELLOW","GREEN"))</f>
        <v/>
      </c>
      <c r="V26" s="5">
        <f>D26/(1+Assumptions!$C$2)-R26</f>
        <v/>
      </c>
      <c r="W26" s="5">
        <f>S26-V26</f>
        <v/>
      </c>
      <c r="X26" s="5">
        <f>E26-G26-E26*Assumptions!$C$3-E26*Assumptions!$C$4*Assumptions!$C$5-MIN(Assumptions!$C$9,Assumptions!$C$10*E26)</f>
        <v/>
      </c>
      <c r="Y26" t="n">
        <v>7</v>
      </c>
      <c r="Z26" s="4">
        <f>IF(Y26="","",E26/Y26-1)</f>
        <v/>
      </c>
    </row>
    <row r="27">
      <c r="A27" t="n">
        <v>26</v>
      </c>
      <c r="B27" t="inlineStr">
        <is>
          <t>مصقعه</t>
        </is>
      </c>
      <c r="C27" t="inlineStr">
        <is>
          <t xml:space="preserve">ايدامات وحسيه </t>
        </is>
      </c>
      <c r="D27" t="n">
        <v>10</v>
      </c>
      <c r="E27" t="n">
        <v>12</v>
      </c>
      <c r="F27" s="4">
        <f>E27/D27-1</f>
        <v/>
      </c>
      <c r="G27" s="5">
        <f>E27*Assumptions!$C$2/(1+Assumptions!$C$2)</f>
        <v/>
      </c>
      <c r="H27" s="5">
        <f>E27*Assumptions!$C$3</f>
        <v/>
      </c>
      <c r="I27" s="5">
        <f>E27*Assumptions!$C$4*Assumptions!$C$5</f>
        <v/>
      </c>
      <c r="J27" s="5">
        <f>IF(E27&lt;30,Assumptions!$C$11,LOOKUP(E27,Assumptions!$A$17:$A$21,Assumptions!$B$17:$B$21))</f>
        <v/>
      </c>
      <c r="K27" s="5">
        <f>H27+I27+J27</f>
        <v/>
      </c>
      <c r="L27" s="5">
        <f>E27-G27-K27</f>
        <v/>
      </c>
      <c r="M27" s="4">
        <f>L27/D27</f>
        <v/>
      </c>
      <c r="N27" s="4">
        <f>L27/E27</f>
        <v/>
      </c>
      <c r="O27" s="4">
        <f>L27/(D27/(1+Assumptions!$C$2))</f>
        <v/>
      </c>
      <c r="P27" s="5">
        <f>L27-Assumptions!$C$6</f>
        <v/>
      </c>
      <c r="Q27" s="5">
        <f>L27</f>
        <v/>
      </c>
      <c r="R27" s="5">
        <f>Assumptions!$C$7*D27/(1+Assumptions!$C$2)+Assumptions!$C$8</f>
        <v/>
      </c>
      <c r="S27" s="5">
        <f>L27-R27</f>
        <v/>
      </c>
      <c r="T27" s="4">
        <f>S27/(E27/(1+Assumptions!$C$2))</f>
        <v/>
      </c>
      <c r="U27">
        <f>IF(T27&lt;0.15,"RED",IF(T27&lt;0.3,"YELLOW","GREEN"))</f>
        <v/>
      </c>
      <c r="V27" s="5">
        <f>D27/(1+Assumptions!$C$2)-R27</f>
        <v/>
      </c>
      <c r="W27" s="5">
        <f>S27-V27</f>
        <v/>
      </c>
      <c r="X27" s="5">
        <f>E27-G27-E27*Assumptions!$C$3-E27*Assumptions!$C$4*Assumptions!$C$5-MIN(Assumptions!$C$9,Assumptions!$C$10*E27)</f>
        <v/>
      </c>
      <c r="Y27" t="n">
        <v>7</v>
      </c>
      <c r="Z27" s="4">
        <f>IF(Y27="","",E27/Y27-1)</f>
        <v/>
      </c>
    </row>
    <row r="28">
      <c r="A28" t="n">
        <v>27</v>
      </c>
      <c r="B28" t="inlineStr">
        <is>
          <t>مشكل ميفى</t>
        </is>
      </c>
      <c r="D28" t="n">
        <v>11</v>
      </c>
      <c r="E28" t="n">
        <v>13.2</v>
      </c>
      <c r="F28" s="4">
        <f>E28/D28-1</f>
        <v/>
      </c>
      <c r="G28" s="5">
        <f>E28*Assumptions!$C$2/(1+Assumptions!$C$2)</f>
        <v/>
      </c>
      <c r="H28" s="5">
        <f>E28*Assumptions!$C$3</f>
        <v/>
      </c>
      <c r="I28" s="5">
        <f>E28*Assumptions!$C$4*Assumptions!$C$5</f>
        <v/>
      </c>
      <c r="J28" s="5">
        <f>IF(E28&lt;30,Assumptions!$C$11,LOOKUP(E28,Assumptions!$A$17:$A$21,Assumptions!$B$17:$B$21))</f>
        <v/>
      </c>
      <c r="K28" s="5">
        <f>H28+I28+J28</f>
        <v/>
      </c>
      <c r="L28" s="5">
        <f>E28-G28-K28</f>
        <v/>
      </c>
      <c r="M28" s="4">
        <f>L28/D28</f>
        <v/>
      </c>
      <c r="N28" s="4">
        <f>L28/E28</f>
        <v/>
      </c>
      <c r="O28" s="4">
        <f>L28/(D28/(1+Assumptions!$C$2))</f>
        <v/>
      </c>
      <c r="P28" s="5">
        <f>L28-Assumptions!$C$6</f>
        <v/>
      </c>
      <c r="Q28" s="5">
        <f>L28</f>
        <v/>
      </c>
      <c r="R28" s="5">
        <f>Assumptions!$C$7*D28/(1+Assumptions!$C$2)+Assumptions!$C$8</f>
        <v/>
      </c>
      <c r="S28" s="5">
        <f>L28-R28</f>
        <v/>
      </c>
      <c r="T28" s="4">
        <f>S28/(E28/(1+Assumptions!$C$2))</f>
        <v/>
      </c>
      <c r="U28">
        <f>IF(T28&lt;0.15,"RED",IF(T28&lt;0.3,"YELLOW","GREEN"))</f>
        <v/>
      </c>
      <c r="V28" s="5">
        <f>D28/(1+Assumptions!$C$2)-R28</f>
        <v/>
      </c>
      <c r="W28" s="5">
        <f>S28-V28</f>
        <v/>
      </c>
      <c r="X28" s="5">
        <f>E28-G28-E28*Assumptions!$C$3-E28*Assumptions!$C$4*Assumptions!$C$5-MIN(Assumptions!$C$9,Assumptions!$C$10*E28)</f>
        <v/>
      </c>
      <c r="Y28" t="n">
        <v>8</v>
      </c>
      <c r="Z28" s="4">
        <f>IF(Y28="","",E28/Y28-1)</f>
        <v/>
      </c>
    </row>
    <row r="29">
      <c r="A29" t="n">
        <v>28</v>
      </c>
      <c r="B29" t="inlineStr">
        <is>
          <t>قوار</t>
        </is>
      </c>
      <c r="D29" t="n">
        <v>13</v>
      </c>
      <c r="E29" t="n">
        <v>15.6</v>
      </c>
      <c r="F29" s="4">
        <f>E29/D29-1</f>
        <v/>
      </c>
      <c r="G29" s="5">
        <f>E29*Assumptions!$C$2/(1+Assumptions!$C$2)</f>
        <v/>
      </c>
      <c r="H29" s="5">
        <f>E29*Assumptions!$C$3</f>
        <v/>
      </c>
      <c r="I29" s="5">
        <f>E29*Assumptions!$C$4*Assumptions!$C$5</f>
        <v/>
      </c>
      <c r="J29" s="5">
        <f>IF(E29&lt;30,Assumptions!$C$11,LOOKUP(E29,Assumptions!$A$17:$A$21,Assumptions!$B$17:$B$21))</f>
        <v/>
      </c>
      <c r="K29" s="5">
        <f>H29+I29+J29</f>
        <v/>
      </c>
      <c r="L29" s="5">
        <f>E29-G29-K29</f>
        <v/>
      </c>
      <c r="M29" s="4">
        <f>L29/D29</f>
        <v/>
      </c>
      <c r="N29" s="4">
        <f>L29/E29</f>
        <v/>
      </c>
      <c r="O29" s="4">
        <f>L29/(D29/(1+Assumptions!$C$2))</f>
        <v/>
      </c>
      <c r="P29" s="5">
        <f>L29-Assumptions!$C$6</f>
        <v/>
      </c>
      <c r="Q29" s="5">
        <f>L29</f>
        <v/>
      </c>
      <c r="R29" s="5">
        <f>Assumptions!$C$7*D29/(1+Assumptions!$C$2)+Assumptions!$C$8</f>
        <v/>
      </c>
      <c r="S29" s="5">
        <f>L29-R29</f>
        <v/>
      </c>
      <c r="T29" s="4">
        <f>S29/(E29/(1+Assumptions!$C$2))</f>
        <v/>
      </c>
      <c r="U29">
        <f>IF(T29&lt;0.15,"RED",IF(T29&lt;0.3,"YELLOW","GREEN"))</f>
        <v/>
      </c>
      <c r="V29" s="5">
        <f>D29/(1+Assumptions!$C$2)-R29</f>
        <v/>
      </c>
      <c r="W29" s="5">
        <f>S29-V29</f>
        <v/>
      </c>
      <c r="X29" s="5">
        <f>E29-G29-E29*Assumptions!$C$3-E29*Assumptions!$C$4*Assumptions!$C$5-MIN(Assumptions!$C$9,Assumptions!$C$10*E29)</f>
        <v/>
      </c>
      <c r="Y29" t="n">
        <v>10</v>
      </c>
      <c r="Z29" s="4">
        <f>IF(Y29="","",E29/Y29-1)</f>
        <v/>
      </c>
    </row>
    <row r="30">
      <c r="A30" t="n">
        <v>29</v>
      </c>
      <c r="B30" t="inlineStr">
        <is>
          <t>مكشن اندومي</t>
        </is>
      </c>
      <c r="D30" t="n">
        <v>22</v>
      </c>
      <c r="E30" t="n">
        <v>26.4</v>
      </c>
      <c r="F30" s="4">
        <f>E30/D30-1</f>
        <v/>
      </c>
      <c r="G30" s="5">
        <f>E30*Assumptions!$C$2/(1+Assumptions!$C$2)</f>
        <v/>
      </c>
      <c r="H30" s="5">
        <f>E30*Assumptions!$C$3</f>
        <v/>
      </c>
      <c r="I30" s="5">
        <f>E30*Assumptions!$C$4*Assumptions!$C$5</f>
        <v/>
      </c>
      <c r="J30" s="5">
        <f>IF(E30&lt;30,Assumptions!$C$11,LOOKUP(E30,Assumptions!$A$17:$A$21,Assumptions!$B$17:$B$21))</f>
        <v/>
      </c>
      <c r="K30" s="5">
        <f>H30+I30+J30</f>
        <v/>
      </c>
      <c r="L30" s="5">
        <f>E30-G30-K30</f>
        <v/>
      </c>
      <c r="M30" s="4">
        <f>L30/D30</f>
        <v/>
      </c>
      <c r="N30" s="4">
        <f>L30/E30</f>
        <v/>
      </c>
      <c r="O30" s="4">
        <f>L30/(D30/(1+Assumptions!$C$2))</f>
        <v/>
      </c>
      <c r="P30" s="5">
        <f>L30-Assumptions!$C$6</f>
        <v/>
      </c>
      <c r="Q30" s="5">
        <f>L30</f>
        <v/>
      </c>
      <c r="R30" s="5">
        <f>Assumptions!$C$7*D30/(1+Assumptions!$C$2)+Assumptions!$C$8</f>
        <v/>
      </c>
      <c r="S30" s="5">
        <f>L30-R30</f>
        <v/>
      </c>
      <c r="T30" s="4">
        <f>S30/(E30/(1+Assumptions!$C$2))</f>
        <v/>
      </c>
      <c r="U30">
        <f>IF(T30&lt;0.15,"RED",IF(T30&lt;0.3,"YELLOW","GREEN"))</f>
        <v/>
      </c>
      <c r="V30" s="5">
        <f>D30/(1+Assumptions!$C$2)-R30</f>
        <v/>
      </c>
      <c r="W30" s="5">
        <f>S30-V30</f>
        <v/>
      </c>
      <c r="X30" s="5">
        <f>E30-G30-E30*Assumptions!$C$3-E30*Assumptions!$C$4*Assumptions!$C$5-MIN(Assumptions!$C$9,Assumptions!$C$10*E30)</f>
        <v/>
      </c>
      <c r="Y30" t="n">
        <v>17</v>
      </c>
      <c r="Z30" s="4">
        <f>IF(Y30="","",E30/Y30-1)</f>
        <v/>
      </c>
    </row>
    <row r="31">
      <c r="A31" t="n">
        <v>30</v>
      </c>
      <c r="B31" t="inlineStr">
        <is>
          <t>رز</t>
        </is>
      </c>
      <c r="D31" t="n">
        <v>10</v>
      </c>
      <c r="E31" t="n">
        <v>12</v>
      </c>
      <c r="F31" s="4">
        <f>E31/D31-1</f>
        <v/>
      </c>
      <c r="G31" s="5">
        <f>E31*Assumptions!$C$2/(1+Assumptions!$C$2)</f>
        <v/>
      </c>
      <c r="H31" s="5">
        <f>E31*Assumptions!$C$3</f>
        <v/>
      </c>
      <c r="I31" s="5">
        <f>E31*Assumptions!$C$4*Assumptions!$C$5</f>
        <v/>
      </c>
      <c r="J31" s="5">
        <f>IF(E31&lt;30,Assumptions!$C$11,LOOKUP(E31,Assumptions!$A$17:$A$21,Assumptions!$B$17:$B$21))</f>
        <v/>
      </c>
      <c r="K31" s="5">
        <f>H31+I31+J31</f>
        <v/>
      </c>
      <c r="L31" s="5">
        <f>E31-G31-K31</f>
        <v/>
      </c>
      <c r="M31" s="4">
        <f>L31/D31</f>
        <v/>
      </c>
      <c r="N31" s="4">
        <f>L31/E31</f>
        <v/>
      </c>
      <c r="O31" s="4">
        <f>L31/(D31/(1+Assumptions!$C$2))</f>
        <v/>
      </c>
      <c r="P31" s="5">
        <f>L31-Assumptions!$C$6</f>
        <v/>
      </c>
      <c r="Q31" s="5">
        <f>L31</f>
        <v/>
      </c>
      <c r="R31" s="5">
        <f>Assumptions!$C$7*D31/(1+Assumptions!$C$2)+Assumptions!$C$8</f>
        <v/>
      </c>
      <c r="S31" s="5">
        <f>L31-R31</f>
        <v/>
      </c>
      <c r="T31" s="4">
        <f>S31/(E31/(1+Assumptions!$C$2))</f>
        <v/>
      </c>
      <c r="U31">
        <f>IF(T31&lt;0.15,"RED",IF(T31&lt;0.3,"YELLOW","GREEN"))</f>
        <v/>
      </c>
      <c r="V31" s="5">
        <f>D31/(1+Assumptions!$C$2)-R31</f>
        <v/>
      </c>
      <c r="W31" s="5">
        <f>S31-V31</f>
        <v/>
      </c>
      <c r="X31" s="5">
        <f>E31-G31-E31*Assumptions!$C$3-E31*Assumptions!$C$4*Assumptions!$C$5-MIN(Assumptions!$C$9,Assumptions!$C$10*E31)</f>
        <v/>
      </c>
      <c r="Y31" t="n">
        <v>8</v>
      </c>
      <c r="Z31" s="4">
        <f>IF(Y31="","",E31/Y31-1)</f>
        <v/>
      </c>
    </row>
    <row r="32">
      <c r="A32" t="n">
        <v>31</v>
      </c>
      <c r="B32" t="inlineStr">
        <is>
          <t>مكشن سمك</t>
        </is>
      </c>
      <c r="D32" t="n">
        <v>58</v>
      </c>
      <c r="E32" t="n">
        <v>69.59999999999999</v>
      </c>
      <c r="F32" s="4">
        <f>E32/D32-1</f>
        <v/>
      </c>
      <c r="G32" s="5">
        <f>E32*Assumptions!$C$2/(1+Assumptions!$C$2)</f>
        <v/>
      </c>
      <c r="H32" s="5">
        <f>E32*Assumptions!$C$3</f>
        <v/>
      </c>
      <c r="I32" s="5">
        <f>E32*Assumptions!$C$4*Assumptions!$C$5</f>
        <v/>
      </c>
      <c r="J32" s="5">
        <f>IF(E32&lt;30,Assumptions!$C$11,LOOKUP(E32,Assumptions!$A$17:$A$21,Assumptions!$B$17:$B$21))</f>
        <v/>
      </c>
      <c r="K32" s="5">
        <f>H32+I32+J32</f>
        <v/>
      </c>
      <c r="L32" s="5">
        <f>E32-G32-K32</f>
        <v/>
      </c>
      <c r="M32" s="4">
        <f>L32/D32</f>
        <v/>
      </c>
      <c r="N32" s="4">
        <f>L32/E32</f>
        <v/>
      </c>
      <c r="O32" s="4">
        <f>L32/(D32/(1+Assumptions!$C$2))</f>
        <v/>
      </c>
      <c r="P32" s="5">
        <f>L32-Assumptions!$C$6</f>
        <v/>
      </c>
      <c r="Q32" s="5">
        <f>L32</f>
        <v/>
      </c>
      <c r="R32" s="5">
        <f>Assumptions!$C$7*D32/(1+Assumptions!$C$2)+Assumptions!$C$8</f>
        <v/>
      </c>
      <c r="S32" s="5">
        <f>L32-R32</f>
        <v/>
      </c>
      <c r="T32" s="4">
        <f>S32/(E32/(1+Assumptions!$C$2))</f>
        <v/>
      </c>
      <c r="U32">
        <f>IF(T32&lt;0.15,"RED",IF(T32&lt;0.3,"YELLOW","GREEN"))</f>
        <v/>
      </c>
      <c r="V32" s="5">
        <f>D32/(1+Assumptions!$C$2)-R32</f>
        <v/>
      </c>
      <c r="W32" s="5">
        <f>S32-V32</f>
        <v/>
      </c>
      <c r="X32" s="5">
        <f>E32-G32-E32*Assumptions!$C$3-E32*Assumptions!$C$4*Assumptions!$C$5-MIN(Assumptions!$C$9,Assumptions!$C$10*E32)</f>
        <v/>
      </c>
      <c r="Y32" t="n">
        <v>45</v>
      </c>
      <c r="Z32" s="4">
        <f>IF(Y32="","",E32/Y32-1)</f>
        <v/>
      </c>
    </row>
    <row r="33">
      <c r="A33" t="n">
        <v>32</v>
      </c>
      <c r="B33" t="inlineStr">
        <is>
          <t>حسيه خمير</t>
        </is>
      </c>
      <c r="D33" t="n">
        <v>22</v>
      </c>
      <c r="E33" t="n">
        <v>26.4</v>
      </c>
      <c r="F33" s="4">
        <f>E33/D33-1</f>
        <v/>
      </c>
      <c r="G33" s="5">
        <f>E33*Assumptions!$C$2/(1+Assumptions!$C$2)</f>
        <v/>
      </c>
      <c r="H33" s="5">
        <f>E33*Assumptions!$C$3</f>
        <v/>
      </c>
      <c r="I33" s="5">
        <f>E33*Assumptions!$C$4*Assumptions!$C$5</f>
        <v/>
      </c>
      <c r="J33" s="5">
        <f>IF(E33&lt;30,Assumptions!$C$11,LOOKUP(E33,Assumptions!$A$17:$A$21,Assumptions!$B$17:$B$21))</f>
        <v/>
      </c>
      <c r="K33" s="5">
        <f>H33+I33+J33</f>
        <v/>
      </c>
      <c r="L33" s="5">
        <f>E33-G33-K33</f>
        <v/>
      </c>
      <c r="M33" s="4">
        <f>L33/D33</f>
        <v/>
      </c>
      <c r="N33" s="4">
        <f>L33/E33</f>
        <v/>
      </c>
      <c r="O33" s="4">
        <f>L33/(D33/(1+Assumptions!$C$2))</f>
        <v/>
      </c>
      <c r="P33" s="5">
        <f>L33-Assumptions!$C$6</f>
        <v/>
      </c>
      <c r="Q33" s="5">
        <f>L33</f>
        <v/>
      </c>
      <c r="R33" s="5">
        <f>Assumptions!$C$7*D33/(1+Assumptions!$C$2)+Assumptions!$C$8</f>
        <v/>
      </c>
      <c r="S33" s="5">
        <f>L33-R33</f>
        <v/>
      </c>
      <c r="T33" s="4">
        <f>S33/(E33/(1+Assumptions!$C$2))</f>
        <v/>
      </c>
      <c r="U33">
        <f>IF(T33&lt;0.15,"RED",IF(T33&lt;0.3,"YELLOW","GREEN"))</f>
        <v/>
      </c>
      <c r="V33" s="5">
        <f>D33/(1+Assumptions!$C$2)-R33</f>
        <v/>
      </c>
      <c r="W33" s="5">
        <f>S33-V33</f>
        <v/>
      </c>
      <c r="X33" s="5">
        <f>E33-G33-E33*Assumptions!$C$3-E33*Assumptions!$C$4*Assumptions!$C$5-MIN(Assumptions!$C$9,Assumptions!$C$10*E33)</f>
        <v/>
      </c>
      <c r="Y33" t="n">
        <v>17</v>
      </c>
      <c r="Z33" s="4">
        <f>IF(Y33="","",E33/Y33-1)</f>
        <v/>
      </c>
    </row>
    <row r="34">
      <c r="A34" t="n">
        <v>33</v>
      </c>
      <c r="B34" t="inlineStr">
        <is>
          <t>حسيه لحم خمير</t>
        </is>
      </c>
      <c r="D34" t="n">
        <v>54</v>
      </c>
      <c r="E34" t="n">
        <v>64.8</v>
      </c>
      <c r="F34" s="4">
        <f>E34/D34-1</f>
        <v/>
      </c>
      <c r="G34" s="5">
        <f>E34*Assumptions!$C$2/(1+Assumptions!$C$2)</f>
        <v/>
      </c>
      <c r="H34" s="5">
        <f>E34*Assumptions!$C$3</f>
        <v/>
      </c>
      <c r="I34" s="5">
        <f>E34*Assumptions!$C$4*Assumptions!$C$5</f>
        <v/>
      </c>
      <c r="J34" s="5">
        <f>IF(E34&lt;30,Assumptions!$C$11,LOOKUP(E34,Assumptions!$A$17:$A$21,Assumptions!$B$17:$B$21))</f>
        <v/>
      </c>
      <c r="K34" s="5">
        <f>H34+I34+J34</f>
        <v/>
      </c>
      <c r="L34" s="5">
        <f>E34-G34-K34</f>
        <v/>
      </c>
      <c r="M34" s="4">
        <f>L34/D34</f>
        <v/>
      </c>
      <c r="N34" s="4">
        <f>L34/E34</f>
        <v/>
      </c>
      <c r="O34" s="4">
        <f>L34/(D34/(1+Assumptions!$C$2))</f>
        <v/>
      </c>
      <c r="P34" s="5">
        <f>L34-Assumptions!$C$6</f>
        <v/>
      </c>
      <c r="Q34" s="5">
        <f>L34</f>
        <v/>
      </c>
      <c r="R34" s="5">
        <f>Assumptions!$C$7*D34/(1+Assumptions!$C$2)+Assumptions!$C$8</f>
        <v/>
      </c>
      <c r="S34" s="5">
        <f>L34-R34</f>
        <v/>
      </c>
      <c r="T34" s="4">
        <f>S34/(E34/(1+Assumptions!$C$2))</f>
        <v/>
      </c>
      <c r="U34">
        <f>IF(T34&lt;0.15,"RED",IF(T34&lt;0.3,"YELLOW","GREEN"))</f>
        <v/>
      </c>
      <c r="V34" s="5">
        <f>D34/(1+Assumptions!$C$2)-R34</f>
        <v/>
      </c>
      <c r="W34" s="5">
        <f>S34-V34</f>
        <v/>
      </c>
      <c r="X34" s="5">
        <f>E34-G34-E34*Assumptions!$C$3-E34*Assumptions!$C$4*Assumptions!$C$5-MIN(Assumptions!$C$9,Assumptions!$C$10*E34)</f>
        <v/>
      </c>
      <c r="Y34" t="n">
        <v>40</v>
      </c>
      <c r="Z34" s="4">
        <f>IF(Y34="","",E34/Y34-1)</f>
        <v/>
      </c>
    </row>
    <row r="35">
      <c r="A35" t="n">
        <v>34</v>
      </c>
      <c r="B35" t="inlineStr">
        <is>
          <t>حسيه فرق خمير</t>
        </is>
      </c>
      <c r="D35" t="n">
        <v>27</v>
      </c>
      <c r="E35" t="n">
        <v>32.4</v>
      </c>
      <c r="F35" s="4">
        <f>E35/D35-1</f>
        <v/>
      </c>
      <c r="G35" s="5">
        <f>E35*Assumptions!$C$2/(1+Assumptions!$C$2)</f>
        <v/>
      </c>
      <c r="H35" s="5">
        <f>E35*Assumptions!$C$3</f>
        <v/>
      </c>
      <c r="I35" s="5">
        <f>E35*Assumptions!$C$4*Assumptions!$C$5</f>
        <v/>
      </c>
      <c r="J35" s="5">
        <f>IF(E35&lt;30,Assumptions!$C$11,LOOKUP(E35,Assumptions!$A$17:$A$21,Assumptions!$B$17:$B$21))</f>
        <v/>
      </c>
      <c r="K35" s="5">
        <f>H35+I35+J35</f>
        <v/>
      </c>
      <c r="L35" s="5">
        <f>E35-G35-K35</f>
        <v/>
      </c>
      <c r="M35" s="4">
        <f>L35/D35</f>
        <v/>
      </c>
      <c r="N35" s="4">
        <f>L35/E35</f>
        <v/>
      </c>
      <c r="O35" s="4">
        <f>L35/(D35/(1+Assumptions!$C$2))</f>
        <v/>
      </c>
      <c r="P35" s="5">
        <f>L35-Assumptions!$C$6</f>
        <v/>
      </c>
      <c r="Q35" s="5">
        <f>L35</f>
        <v/>
      </c>
      <c r="R35" s="5">
        <f>Assumptions!$C$7*D35/(1+Assumptions!$C$2)+Assumptions!$C$8</f>
        <v/>
      </c>
      <c r="S35" s="5">
        <f>L35-R35</f>
        <v/>
      </c>
      <c r="T35" s="4">
        <f>S35/(E35/(1+Assumptions!$C$2))</f>
        <v/>
      </c>
      <c r="U35">
        <f>IF(T35&lt;0.15,"RED",IF(T35&lt;0.3,"YELLOW","GREEN"))</f>
        <v/>
      </c>
      <c r="V35" s="5">
        <f>D35/(1+Assumptions!$C$2)-R35</f>
        <v/>
      </c>
      <c r="W35" s="5">
        <f>S35-V35</f>
        <v/>
      </c>
      <c r="X35" s="5">
        <f>E35-G35-E35*Assumptions!$C$3-E35*Assumptions!$C$4*Assumptions!$C$5-MIN(Assumptions!$C$9,Assumptions!$C$10*E35)</f>
        <v/>
      </c>
      <c r="Y35" t="n">
        <v>20</v>
      </c>
      <c r="Z35" s="4">
        <f>IF(Y35="","",E35/Y35-1)</f>
        <v/>
      </c>
    </row>
    <row r="36">
      <c r="A36" t="n">
        <v>35</v>
      </c>
      <c r="B36" t="inlineStr">
        <is>
          <t>حسيه سمك</t>
        </is>
      </c>
      <c r="D36" t="n">
        <v>48</v>
      </c>
      <c r="E36" t="n">
        <v>57.6</v>
      </c>
      <c r="F36" s="4">
        <f>E36/D36-1</f>
        <v/>
      </c>
      <c r="G36" s="5">
        <f>E36*Assumptions!$C$2/(1+Assumptions!$C$2)</f>
        <v/>
      </c>
      <c r="H36" s="5">
        <f>E36*Assumptions!$C$3</f>
        <v/>
      </c>
      <c r="I36" s="5">
        <f>E36*Assumptions!$C$4*Assumptions!$C$5</f>
        <v/>
      </c>
      <c r="J36" s="5">
        <f>IF(E36&lt;30,Assumptions!$C$11,LOOKUP(E36,Assumptions!$A$17:$A$21,Assumptions!$B$17:$B$21))</f>
        <v/>
      </c>
      <c r="K36" s="5">
        <f>H36+I36+J36</f>
        <v/>
      </c>
      <c r="L36" s="5">
        <f>E36-G36-K36</f>
        <v/>
      </c>
      <c r="M36" s="4">
        <f>L36/D36</f>
        <v/>
      </c>
      <c r="N36" s="4">
        <f>L36/E36</f>
        <v/>
      </c>
      <c r="O36" s="4">
        <f>L36/(D36/(1+Assumptions!$C$2))</f>
        <v/>
      </c>
      <c r="P36" s="5">
        <f>L36-Assumptions!$C$6</f>
        <v/>
      </c>
      <c r="Q36" s="5">
        <f>L36</f>
        <v/>
      </c>
      <c r="R36" s="5">
        <f>Assumptions!$C$7*D36/(1+Assumptions!$C$2)+Assumptions!$C$8</f>
        <v/>
      </c>
      <c r="S36" s="5">
        <f>L36-R36</f>
        <v/>
      </c>
      <c r="T36" s="4">
        <f>S36/(E36/(1+Assumptions!$C$2))</f>
        <v/>
      </c>
      <c r="U36">
        <f>IF(T36&lt;0.15,"RED",IF(T36&lt;0.3,"YELLOW","GREEN"))</f>
        <v/>
      </c>
      <c r="V36" s="5">
        <f>D36/(1+Assumptions!$C$2)-R36</f>
        <v/>
      </c>
      <c r="W36" s="5">
        <f>S36-V36</f>
        <v/>
      </c>
      <c r="X36" s="5">
        <f>E36-G36-E36*Assumptions!$C$3-E36*Assumptions!$C$4*Assumptions!$C$5-MIN(Assumptions!$C$9,Assumptions!$C$10*E36)</f>
        <v/>
      </c>
      <c r="Y36" t="n">
        <v>35</v>
      </c>
      <c r="Z36" s="4">
        <f>IF(Y36="","",E36/Y36-1)</f>
        <v/>
      </c>
    </row>
    <row r="37">
      <c r="A37" t="n">
        <v>36</v>
      </c>
      <c r="B37" t="inlineStr">
        <is>
          <t>حسيه لحوح لحم</t>
        </is>
      </c>
      <c r="D37" t="n">
        <v>48</v>
      </c>
      <c r="E37" t="n">
        <v>57.6</v>
      </c>
      <c r="F37" s="4">
        <f>E37/D37-1</f>
        <v/>
      </c>
      <c r="G37" s="5">
        <f>E37*Assumptions!$C$2/(1+Assumptions!$C$2)</f>
        <v/>
      </c>
      <c r="H37" s="5">
        <f>E37*Assumptions!$C$3</f>
        <v/>
      </c>
      <c r="I37" s="5">
        <f>E37*Assumptions!$C$4*Assumptions!$C$5</f>
        <v/>
      </c>
      <c r="J37" s="5">
        <f>IF(E37&lt;30,Assumptions!$C$11,LOOKUP(E37,Assumptions!$A$17:$A$21,Assumptions!$B$17:$B$21))</f>
        <v/>
      </c>
      <c r="K37" s="5">
        <f>H37+I37+J37</f>
        <v/>
      </c>
      <c r="L37" s="5">
        <f>E37-G37-K37</f>
        <v/>
      </c>
      <c r="M37" s="4">
        <f>L37/D37</f>
        <v/>
      </c>
      <c r="N37" s="4">
        <f>L37/E37</f>
        <v/>
      </c>
      <c r="O37" s="4">
        <f>L37/(D37/(1+Assumptions!$C$2))</f>
        <v/>
      </c>
      <c r="P37" s="5">
        <f>L37-Assumptions!$C$6</f>
        <v/>
      </c>
      <c r="Q37" s="5">
        <f>L37</f>
        <v/>
      </c>
      <c r="R37" s="5">
        <f>Assumptions!$C$7*D37/(1+Assumptions!$C$2)+Assumptions!$C$8</f>
        <v/>
      </c>
      <c r="S37" s="5">
        <f>L37-R37</f>
        <v/>
      </c>
      <c r="T37" s="4">
        <f>S37/(E37/(1+Assumptions!$C$2))</f>
        <v/>
      </c>
      <c r="U37">
        <f>IF(T37&lt;0.15,"RED",IF(T37&lt;0.3,"YELLOW","GREEN"))</f>
        <v/>
      </c>
      <c r="V37" s="5">
        <f>D37/(1+Assumptions!$C$2)-R37</f>
        <v/>
      </c>
      <c r="W37" s="5">
        <f>S37-V37</f>
        <v/>
      </c>
      <c r="X37" s="5">
        <f>E37-G37-E37*Assumptions!$C$3-E37*Assumptions!$C$4*Assumptions!$C$5-MIN(Assumptions!$C$9,Assumptions!$C$10*E37)</f>
        <v/>
      </c>
      <c r="Y37" t="n">
        <v>35</v>
      </c>
      <c r="Z37" s="4">
        <f>IF(Y37="","",E37/Y37-1)</f>
        <v/>
      </c>
    </row>
    <row r="38">
      <c r="A38" t="n">
        <v>37</v>
      </c>
      <c r="B38" t="inlineStr">
        <is>
          <t>حسيه دقيق لحم</t>
        </is>
      </c>
      <c r="D38" t="n">
        <v>48</v>
      </c>
      <c r="E38" t="n">
        <v>57.6</v>
      </c>
      <c r="F38" s="4">
        <f>E38/D38-1</f>
        <v/>
      </c>
      <c r="G38" s="5">
        <f>E38*Assumptions!$C$2/(1+Assumptions!$C$2)</f>
        <v/>
      </c>
      <c r="H38" s="5">
        <f>E38*Assumptions!$C$3</f>
        <v/>
      </c>
      <c r="I38" s="5">
        <f>E38*Assumptions!$C$4*Assumptions!$C$5</f>
        <v/>
      </c>
      <c r="J38" s="5">
        <f>IF(E38&lt;30,Assumptions!$C$11,LOOKUP(E38,Assumptions!$A$17:$A$21,Assumptions!$B$17:$B$21))</f>
        <v/>
      </c>
      <c r="K38" s="5">
        <f>H38+I38+J38</f>
        <v/>
      </c>
      <c r="L38" s="5">
        <f>E38-G38-K38</f>
        <v/>
      </c>
      <c r="M38" s="4">
        <f>L38/D38</f>
        <v/>
      </c>
      <c r="N38" s="4">
        <f>L38/E38</f>
        <v/>
      </c>
      <c r="O38" s="4">
        <f>L38/(D38/(1+Assumptions!$C$2))</f>
        <v/>
      </c>
      <c r="P38" s="5">
        <f>L38-Assumptions!$C$6</f>
        <v/>
      </c>
      <c r="Q38" s="5">
        <f>L38</f>
        <v/>
      </c>
      <c r="R38" s="5">
        <f>Assumptions!$C$7*D38/(1+Assumptions!$C$2)+Assumptions!$C$8</f>
        <v/>
      </c>
      <c r="S38" s="5">
        <f>L38-R38</f>
        <v/>
      </c>
      <c r="T38" s="4">
        <f>S38/(E38/(1+Assumptions!$C$2))</f>
        <v/>
      </c>
      <c r="U38">
        <f>IF(T38&lt;0.15,"RED",IF(T38&lt;0.3,"YELLOW","GREEN"))</f>
        <v/>
      </c>
      <c r="V38" s="5">
        <f>D38/(1+Assumptions!$C$2)-R38</f>
        <v/>
      </c>
      <c r="W38" s="5">
        <f>S38-V38</f>
        <v/>
      </c>
      <c r="X38" s="5">
        <f>E38-G38-E38*Assumptions!$C$3-E38*Assumptions!$C$4*Assumptions!$C$5-MIN(Assumptions!$C$9,Assumptions!$C$10*E38)</f>
        <v/>
      </c>
      <c r="Y38" t="n">
        <v>35</v>
      </c>
      <c r="Z38" s="4">
        <f>IF(Y38="","",E38/Y38-1)</f>
        <v/>
      </c>
    </row>
    <row r="39">
      <c r="A39" t="n">
        <v>38</v>
      </c>
      <c r="B39" t="inlineStr">
        <is>
          <t>حسيه بيتنا (عزبه)</t>
        </is>
      </c>
      <c r="D39" t="n">
        <v>62</v>
      </c>
      <c r="E39" t="n">
        <v>74.40000000000001</v>
      </c>
      <c r="F39" s="4">
        <f>E39/D39-1</f>
        <v/>
      </c>
      <c r="G39" s="5">
        <f>E39*Assumptions!$C$2/(1+Assumptions!$C$2)</f>
        <v/>
      </c>
      <c r="H39" s="5">
        <f>E39*Assumptions!$C$3</f>
        <v/>
      </c>
      <c r="I39" s="5">
        <f>E39*Assumptions!$C$4*Assumptions!$C$5</f>
        <v/>
      </c>
      <c r="J39" s="5">
        <f>IF(E39&lt;30,Assumptions!$C$11,LOOKUP(E39,Assumptions!$A$17:$A$21,Assumptions!$B$17:$B$21))</f>
        <v/>
      </c>
      <c r="K39" s="5">
        <f>H39+I39+J39</f>
        <v/>
      </c>
      <c r="L39" s="5">
        <f>E39-G39-K39</f>
        <v/>
      </c>
      <c r="M39" s="4">
        <f>L39/D39</f>
        <v/>
      </c>
      <c r="N39" s="4">
        <f>L39/E39</f>
        <v/>
      </c>
      <c r="O39" s="4">
        <f>L39/(D39/(1+Assumptions!$C$2))</f>
        <v/>
      </c>
      <c r="P39" s="5">
        <f>L39-Assumptions!$C$6</f>
        <v/>
      </c>
      <c r="Q39" s="5">
        <f>L39</f>
        <v/>
      </c>
      <c r="R39" s="5">
        <f>Assumptions!$C$7*D39/(1+Assumptions!$C$2)+Assumptions!$C$8</f>
        <v/>
      </c>
      <c r="S39" s="5">
        <f>L39-R39</f>
        <v/>
      </c>
      <c r="T39" s="4">
        <f>S39/(E39/(1+Assumptions!$C$2))</f>
        <v/>
      </c>
      <c r="U39">
        <f>IF(T39&lt;0.15,"RED",IF(T39&lt;0.3,"YELLOW","GREEN"))</f>
        <v/>
      </c>
      <c r="V39" s="5">
        <f>D39/(1+Assumptions!$C$2)-R39</f>
        <v/>
      </c>
      <c r="W39" s="5">
        <f>S39-V39</f>
        <v/>
      </c>
      <c r="X39" s="5">
        <f>E39-G39-E39*Assumptions!$C$3-E39*Assumptions!$C$4*Assumptions!$C$5-MIN(Assumptions!$C$9,Assumptions!$C$10*E39)</f>
        <v/>
      </c>
      <c r="Y39" t="n">
        <v>45</v>
      </c>
      <c r="Z39" s="4">
        <f>IF(Y39="","",E39/Y39-1)</f>
        <v/>
      </c>
    </row>
    <row r="40">
      <c r="A40" t="n">
        <v>39</v>
      </c>
      <c r="B40" t="inlineStr">
        <is>
          <t>حيسية فرق لحوح</t>
        </is>
      </c>
      <c r="D40" t="n">
        <v>20</v>
      </c>
      <c r="E40" t="n">
        <v>24</v>
      </c>
      <c r="F40" s="4">
        <f>E40/D40-1</f>
        <v/>
      </c>
      <c r="G40" s="5">
        <f>E40*Assumptions!$C$2/(1+Assumptions!$C$2)</f>
        <v/>
      </c>
      <c r="H40" s="5">
        <f>E40*Assumptions!$C$3</f>
        <v/>
      </c>
      <c r="I40" s="5">
        <f>E40*Assumptions!$C$4*Assumptions!$C$5</f>
        <v/>
      </c>
      <c r="J40" s="5">
        <f>IF(E40&lt;30,Assumptions!$C$11,LOOKUP(E40,Assumptions!$A$17:$A$21,Assumptions!$B$17:$B$21))</f>
        <v/>
      </c>
      <c r="K40" s="5">
        <f>H40+I40+J40</f>
        <v/>
      </c>
      <c r="L40" s="5">
        <f>E40-G40-K40</f>
        <v/>
      </c>
      <c r="M40" s="4">
        <f>L40/D40</f>
        <v/>
      </c>
      <c r="N40" s="4">
        <f>L40/E40</f>
        <v/>
      </c>
      <c r="O40" s="4">
        <f>L40/(D40/(1+Assumptions!$C$2))</f>
        <v/>
      </c>
      <c r="P40" s="5">
        <f>L40-Assumptions!$C$6</f>
        <v/>
      </c>
      <c r="Q40" s="5">
        <f>L40</f>
        <v/>
      </c>
      <c r="R40" s="5">
        <f>Assumptions!$C$7*D40/(1+Assumptions!$C$2)+Assumptions!$C$8</f>
        <v/>
      </c>
      <c r="S40" s="5">
        <f>L40-R40</f>
        <v/>
      </c>
      <c r="T40" s="4">
        <f>S40/(E40/(1+Assumptions!$C$2))</f>
        <v/>
      </c>
      <c r="U40">
        <f>IF(T40&lt;0.15,"RED",IF(T40&lt;0.3,"YELLOW","GREEN"))</f>
        <v/>
      </c>
      <c r="V40" s="5">
        <f>D40/(1+Assumptions!$C$2)-R40</f>
        <v/>
      </c>
      <c r="W40" s="5">
        <f>S40-V40</f>
        <v/>
      </c>
      <c r="X40" s="5">
        <f>E40-G40-E40*Assumptions!$C$3-E40*Assumptions!$C$4*Assumptions!$C$5-MIN(Assumptions!$C$9,Assumptions!$C$10*E40)</f>
        <v/>
      </c>
      <c r="Y40" t="n">
        <v>15</v>
      </c>
      <c r="Z40" s="4">
        <f>IF(Y40="","",E40/Y40-1)</f>
        <v/>
      </c>
    </row>
    <row r="41">
      <c r="A41" t="n">
        <v>40</v>
      </c>
      <c r="B41" t="inlineStr">
        <is>
          <t>مفالت</t>
        </is>
      </c>
      <c r="D41" t="n">
        <v>21</v>
      </c>
      <c r="E41" t="n">
        <v>25.2</v>
      </c>
      <c r="F41" s="4">
        <f>E41/D41-1</f>
        <v/>
      </c>
      <c r="G41" s="5">
        <f>E41*Assumptions!$C$2/(1+Assumptions!$C$2)</f>
        <v/>
      </c>
      <c r="H41" s="5">
        <f>E41*Assumptions!$C$3</f>
        <v/>
      </c>
      <c r="I41" s="5">
        <f>E41*Assumptions!$C$4*Assumptions!$C$5</f>
        <v/>
      </c>
      <c r="J41" s="5">
        <f>IF(E41&lt;30,Assumptions!$C$11,LOOKUP(E41,Assumptions!$A$17:$A$21,Assumptions!$B$17:$B$21))</f>
        <v/>
      </c>
      <c r="K41" s="5">
        <f>H41+I41+J41</f>
        <v/>
      </c>
      <c r="L41" s="5">
        <f>E41-G41-K41</f>
        <v/>
      </c>
      <c r="M41" s="4">
        <f>L41/D41</f>
        <v/>
      </c>
      <c r="N41" s="4">
        <f>L41/E41</f>
        <v/>
      </c>
      <c r="O41" s="4">
        <f>L41/(D41/(1+Assumptions!$C$2))</f>
        <v/>
      </c>
      <c r="P41" s="5">
        <f>L41-Assumptions!$C$6</f>
        <v/>
      </c>
      <c r="Q41" s="5">
        <f>L41</f>
        <v/>
      </c>
      <c r="R41" s="5">
        <f>Assumptions!$C$7*D41/(1+Assumptions!$C$2)+Assumptions!$C$8</f>
        <v/>
      </c>
      <c r="S41" s="5">
        <f>L41-R41</f>
        <v/>
      </c>
      <c r="T41" s="4">
        <f>S41/(E41/(1+Assumptions!$C$2))</f>
        <v/>
      </c>
      <c r="U41">
        <f>IF(T41&lt;0.15,"RED",IF(T41&lt;0.3,"YELLOW","GREEN"))</f>
        <v/>
      </c>
      <c r="V41" s="5">
        <f>D41/(1+Assumptions!$C$2)-R41</f>
        <v/>
      </c>
      <c r="W41" s="5">
        <f>S41-V41</f>
        <v/>
      </c>
      <c r="X41" s="5">
        <f>E41-G41-E41*Assumptions!$C$3-E41*Assumptions!$C$4*Assumptions!$C$5-MIN(Assumptions!$C$9,Assumptions!$C$10*E41)</f>
        <v/>
      </c>
      <c r="Y41" t="n">
        <v>15</v>
      </c>
      <c r="Z41" s="4">
        <f>IF(Y41="","",E41/Y41-1)</f>
        <v/>
      </c>
    </row>
    <row r="42">
      <c r="A42" t="n">
        <v>41</v>
      </c>
      <c r="B42" t="inlineStr">
        <is>
          <t>لبة أمي</t>
        </is>
      </c>
      <c r="D42" t="n">
        <v>13</v>
      </c>
      <c r="E42" t="n">
        <v>15.6</v>
      </c>
      <c r="F42" s="4">
        <f>E42/D42-1</f>
        <v/>
      </c>
      <c r="G42" s="5">
        <f>E42*Assumptions!$C$2/(1+Assumptions!$C$2)</f>
        <v/>
      </c>
      <c r="H42" s="5">
        <f>E42*Assumptions!$C$3</f>
        <v/>
      </c>
      <c r="I42" s="5">
        <f>E42*Assumptions!$C$4*Assumptions!$C$5</f>
        <v/>
      </c>
      <c r="J42" s="5">
        <f>IF(E42&lt;30,Assumptions!$C$11,LOOKUP(E42,Assumptions!$A$17:$A$21,Assumptions!$B$17:$B$21))</f>
        <v/>
      </c>
      <c r="K42" s="5">
        <f>H42+I42+J42</f>
        <v/>
      </c>
      <c r="L42" s="5">
        <f>E42-G42-K42</f>
        <v/>
      </c>
      <c r="M42" s="4">
        <f>L42/D42</f>
        <v/>
      </c>
      <c r="N42" s="4">
        <f>L42/E42</f>
        <v/>
      </c>
      <c r="O42" s="4">
        <f>L42/(D42/(1+Assumptions!$C$2))</f>
        <v/>
      </c>
      <c r="P42" s="5">
        <f>L42-Assumptions!$C$6</f>
        <v/>
      </c>
      <c r="Q42" s="5">
        <f>L42</f>
        <v/>
      </c>
      <c r="R42" s="5">
        <f>Assumptions!$C$7*D42/(1+Assumptions!$C$2)+Assumptions!$C$8</f>
        <v/>
      </c>
      <c r="S42" s="5">
        <f>L42-R42</f>
        <v/>
      </c>
      <c r="T42" s="4">
        <f>S42/(E42/(1+Assumptions!$C$2))</f>
        <v/>
      </c>
      <c r="U42">
        <f>IF(T42&lt;0.15,"RED",IF(T42&lt;0.3,"YELLOW","GREEN"))</f>
        <v/>
      </c>
      <c r="V42" s="5">
        <f>D42/(1+Assumptions!$C$2)-R42</f>
        <v/>
      </c>
      <c r="W42" s="5">
        <f>S42-V42</f>
        <v/>
      </c>
      <c r="X42" s="5">
        <f>E42-G42-E42*Assumptions!$C$3-E42*Assumptions!$C$4*Assumptions!$C$5-MIN(Assumptions!$C$9,Assumptions!$C$10*E42)</f>
        <v/>
      </c>
      <c r="Y42" t="n">
        <v>10</v>
      </c>
      <c r="Z42" s="4">
        <f>IF(Y42="","",E42/Y42-1)</f>
        <v/>
      </c>
    </row>
    <row r="43">
      <c r="A43" t="n">
        <v>42</v>
      </c>
      <c r="B43" t="inlineStr">
        <is>
          <t>سلطه شرائح</t>
        </is>
      </c>
      <c r="D43" t="n">
        <v>10</v>
      </c>
      <c r="E43" t="n">
        <v>12</v>
      </c>
      <c r="F43" s="4">
        <f>E43/D43-1</f>
        <v/>
      </c>
      <c r="G43" s="5">
        <f>E43*Assumptions!$C$2/(1+Assumptions!$C$2)</f>
        <v/>
      </c>
      <c r="H43" s="5">
        <f>E43*Assumptions!$C$3</f>
        <v/>
      </c>
      <c r="I43" s="5">
        <f>E43*Assumptions!$C$4*Assumptions!$C$5</f>
        <v/>
      </c>
      <c r="J43" s="5">
        <f>IF(E43&lt;30,Assumptions!$C$11,LOOKUP(E43,Assumptions!$A$17:$A$21,Assumptions!$B$17:$B$21))</f>
        <v/>
      </c>
      <c r="K43" s="5">
        <f>H43+I43+J43</f>
        <v/>
      </c>
      <c r="L43" s="5">
        <f>E43-G43-K43</f>
        <v/>
      </c>
      <c r="M43" s="4">
        <f>L43/D43</f>
        <v/>
      </c>
      <c r="N43" s="4">
        <f>L43/E43</f>
        <v/>
      </c>
      <c r="O43" s="4">
        <f>L43/(D43/(1+Assumptions!$C$2))</f>
        <v/>
      </c>
      <c r="P43" s="5">
        <f>L43-Assumptions!$C$6</f>
        <v/>
      </c>
      <c r="Q43" s="5">
        <f>L43</f>
        <v/>
      </c>
      <c r="R43" s="5">
        <f>Assumptions!$C$7*D43/(1+Assumptions!$C$2)+Assumptions!$C$8</f>
        <v/>
      </c>
      <c r="S43" s="5">
        <f>L43-R43</f>
        <v/>
      </c>
      <c r="T43" s="4">
        <f>S43/(E43/(1+Assumptions!$C$2))</f>
        <v/>
      </c>
      <c r="U43">
        <f>IF(T43&lt;0.15,"RED",IF(T43&lt;0.3,"YELLOW","GREEN"))</f>
        <v/>
      </c>
      <c r="V43" s="5">
        <f>D43/(1+Assumptions!$C$2)-R43</f>
        <v/>
      </c>
      <c r="W43" s="5">
        <f>S43-V43</f>
        <v/>
      </c>
      <c r="X43" s="5">
        <f>E43-G43-E43*Assumptions!$C$3-E43*Assumptions!$C$4*Assumptions!$C$5-MIN(Assumptions!$C$9,Assumptions!$C$10*E43)</f>
        <v/>
      </c>
      <c r="Y43" t="n">
        <v>8</v>
      </c>
      <c r="Z43" s="4">
        <f>IF(Y43="","",E43/Y43-1)</f>
        <v/>
      </c>
    </row>
    <row r="44">
      <c r="A44" t="n">
        <v>43</v>
      </c>
      <c r="B44" t="inlineStr">
        <is>
          <t>سلطة خضراء</t>
        </is>
      </c>
      <c r="C44" t="inlineStr">
        <is>
          <t>مقبلات</t>
        </is>
      </c>
      <c r="D44" t="n">
        <v>8</v>
      </c>
      <c r="E44" t="n">
        <v>9</v>
      </c>
      <c r="F44" s="4">
        <f>E44/D44-1</f>
        <v/>
      </c>
      <c r="G44" s="5">
        <f>E44*Assumptions!$C$2/(1+Assumptions!$C$2)</f>
        <v/>
      </c>
      <c r="H44" s="5">
        <f>E44*Assumptions!$C$3</f>
        <v/>
      </c>
      <c r="I44" s="5">
        <f>E44*Assumptions!$C$4*Assumptions!$C$5</f>
        <v/>
      </c>
      <c r="J44" s="5">
        <f>IF(E44&lt;30,Assumptions!$C$11,LOOKUP(E44,Assumptions!$A$17:$A$21,Assumptions!$B$17:$B$21))</f>
        <v/>
      </c>
      <c r="K44" s="5">
        <f>H44+I44+J44</f>
        <v/>
      </c>
      <c r="L44" s="5">
        <f>E44-G44-K44</f>
        <v/>
      </c>
      <c r="M44" s="4">
        <f>L44/D44</f>
        <v/>
      </c>
      <c r="N44" s="4">
        <f>L44/E44</f>
        <v/>
      </c>
      <c r="O44" s="4">
        <f>L44/(D44/(1+Assumptions!$C$2))</f>
        <v/>
      </c>
      <c r="P44" s="5">
        <f>L44-Assumptions!$C$6</f>
        <v/>
      </c>
      <c r="Q44" s="5">
        <f>L44</f>
        <v/>
      </c>
      <c r="R44" s="5">
        <f>Assumptions!$C$7*D44/(1+Assumptions!$C$2)+Assumptions!$C$8</f>
        <v/>
      </c>
      <c r="S44" s="5">
        <f>L44-R44</f>
        <v/>
      </c>
      <c r="T44" s="4">
        <f>S44/(E44/(1+Assumptions!$C$2))</f>
        <v/>
      </c>
      <c r="U44">
        <f>IF(T44&lt;0.15,"RED",IF(T44&lt;0.3,"YELLOW","GREEN"))</f>
        <v/>
      </c>
      <c r="V44" s="5">
        <f>D44/(1+Assumptions!$C$2)-R44</f>
        <v/>
      </c>
      <c r="W44" s="5">
        <f>S44-V44</f>
        <v/>
      </c>
      <c r="X44" s="5">
        <f>E44-G44-E44*Assumptions!$C$3-E44*Assumptions!$C$4*Assumptions!$C$5-MIN(Assumptions!$C$9,Assumptions!$C$10*E44)</f>
        <v/>
      </c>
      <c r="Y44" t="n">
        <v>6</v>
      </c>
      <c r="Z44" s="4">
        <f>IF(Y44="","",E44/Y44-1)</f>
        <v/>
      </c>
      <c r="AA44" t="inlineStr">
        <is>
          <t>سعر HS مكتوب يدوياً ولا يساوي D×1.2</t>
        </is>
      </c>
    </row>
    <row r="45">
      <c r="A45" t="n">
        <v>44</v>
      </c>
      <c r="B45" t="inlineStr">
        <is>
          <t>سلطة زبادي خيار</t>
        </is>
      </c>
      <c r="D45" t="n">
        <v>7</v>
      </c>
      <c r="E45" t="n">
        <v>8</v>
      </c>
      <c r="F45" s="4">
        <f>E45/D45-1</f>
        <v/>
      </c>
      <c r="G45" s="5">
        <f>E45*Assumptions!$C$2/(1+Assumptions!$C$2)</f>
        <v/>
      </c>
      <c r="H45" s="5">
        <f>E45*Assumptions!$C$3</f>
        <v/>
      </c>
      <c r="I45" s="5">
        <f>E45*Assumptions!$C$4*Assumptions!$C$5</f>
        <v/>
      </c>
      <c r="J45" s="5">
        <f>IF(E45&lt;30,Assumptions!$C$11,LOOKUP(E45,Assumptions!$A$17:$A$21,Assumptions!$B$17:$B$21))</f>
        <v/>
      </c>
      <c r="K45" s="5">
        <f>H45+I45+J45</f>
        <v/>
      </c>
      <c r="L45" s="5">
        <f>E45-G45-K45</f>
        <v/>
      </c>
      <c r="M45" s="4">
        <f>L45/D45</f>
        <v/>
      </c>
      <c r="N45" s="4">
        <f>L45/E45</f>
        <v/>
      </c>
      <c r="O45" s="4">
        <f>L45/(D45/(1+Assumptions!$C$2))</f>
        <v/>
      </c>
      <c r="P45" s="5">
        <f>L45-Assumptions!$C$6</f>
        <v/>
      </c>
      <c r="Q45" s="5">
        <f>L45</f>
        <v/>
      </c>
      <c r="R45" s="5">
        <f>Assumptions!$C$7*D45/(1+Assumptions!$C$2)+Assumptions!$C$8</f>
        <v/>
      </c>
      <c r="S45" s="5">
        <f>L45-R45</f>
        <v/>
      </c>
      <c r="T45" s="4">
        <f>S45/(E45/(1+Assumptions!$C$2))</f>
        <v/>
      </c>
      <c r="U45">
        <f>IF(T45&lt;0.15,"RED",IF(T45&lt;0.3,"YELLOW","GREEN"))</f>
        <v/>
      </c>
      <c r="V45" s="5">
        <f>D45/(1+Assumptions!$C$2)-R45</f>
        <v/>
      </c>
      <c r="W45" s="5">
        <f>S45-V45</f>
        <v/>
      </c>
      <c r="X45" s="5">
        <f>E45-G45-E45*Assumptions!$C$3-E45*Assumptions!$C$4*Assumptions!$C$5-MIN(Assumptions!$C$9,Assumptions!$C$10*E45)</f>
        <v/>
      </c>
      <c r="Y45" t="n">
        <v>5</v>
      </c>
      <c r="Z45" s="4">
        <f>IF(Y45="","",E45/Y45-1)</f>
        <v/>
      </c>
      <c r="AA45" t="inlineStr">
        <is>
          <t>سعر HS مكتوب يدوياً ولا يساوي D×1.2</t>
        </is>
      </c>
    </row>
    <row r="46">
      <c r="A46" t="n">
        <v>45</v>
      </c>
      <c r="B46" t="inlineStr">
        <is>
          <t>زبادي</t>
        </is>
      </c>
      <c r="D46" t="n">
        <v>3</v>
      </c>
      <c r="E46" t="n">
        <v>3.6</v>
      </c>
      <c r="F46" s="4">
        <f>E46/D46-1</f>
        <v/>
      </c>
      <c r="G46" s="5">
        <f>E46*Assumptions!$C$2/(1+Assumptions!$C$2)</f>
        <v/>
      </c>
      <c r="H46" s="5">
        <f>E46*Assumptions!$C$3</f>
        <v/>
      </c>
      <c r="I46" s="5">
        <f>E46*Assumptions!$C$4*Assumptions!$C$5</f>
        <v/>
      </c>
      <c r="J46" s="5">
        <f>IF(E46&lt;30,Assumptions!$C$11,LOOKUP(E46,Assumptions!$A$17:$A$21,Assumptions!$B$17:$B$21))</f>
        <v/>
      </c>
      <c r="K46" s="5">
        <f>H46+I46+J46</f>
        <v/>
      </c>
      <c r="L46" s="5">
        <f>E46-G46-K46</f>
        <v/>
      </c>
      <c r="M46" s="4">
        <f>L46/D46</f>
        <v/>
      </c>
      <c r="N46" s="4">
        <f>L46/E46</f>
        <v/>
      </c>
      <c r="O46" s="4">
        <f>L46/(D46/(1+Assumptions!$C$2))</f>
        <v/>
      </c>
      <c r="P46" s="5">
        <f>L46-Assumptions!$C$6</f>
        <v/>
      </c>
      <c r="Q46" s="5">
        <f>L46</f>
        <v/>
      </c>
      <c r="R46" s="5">
        <f>Assumptions!$C$7*D46/(1+Assumptions!$C$2)+Assumptions!$C$8</f>
        <v/>
      </c>
      <c r="S46" s="5">
        <f>L46-R46</f>
        <v/>
      </c>
      <c r="T46" s="4">
        <f>S46/(E46/(1+Assumptions!$C$2))</f>
        <v/>
      </c>
      <c r="U46">
        <f>IF(T46&lt;0.15,"RED",IF(T46&lt;0.3,"YELLOW","GREEN"))</f>
        <v/>
      </c>
      <c r="V46" s="5">
        <f>D46/(1+Assumptions!$C$2)-R46</f>
        <v/>
      </c>
      <c r="W46" s="5">
        <f>S46-V46</f>
        <v/>
      </c>
      <c r="X46" s="5">
        <f>E46-G46-E46*Assumptions!$C$3-E46*Assumptions!$C$4*Assumptions!$C$5-MIN(Assumptions!$C$9,Assumptions!$C$10*E46)</f>
        <v/>
      </c>
      <c r="Y46" t="n">
        <v>2</v>
      </c>
      <c r="Z46" s="4">
        <f>IF(Y46="","",E46/Y46-1)</f>
        <v/>
      </c>
    </row>
    <row r="47">
      <c r="A47" t="n">
        <v>46</v>
      </c>
      <c r="B47" t="inlineStr">
        <is>
          <t>بسباس</t>
        </is>
      </c>
      <c r="D47" t="n">
        <v>10</v>
      </c>
      <c r="E47" t="n">
        <v>12</v>
      </c>
      <c r="F47" s="4">
        <f>E47/D47-1</f>
        <v/>
      </c>
      <c r="G47" s="5">
        <f>E47*Assumptions!$C$2/(1+Assumptions!$C$2)</f>
        <v/>
      </c>
      <c r="H47" s="5">
        <f>E47*Assumptions!$C$3</f>
        <v/>
      </c>
      <c r="I47" s="5">
        <f>E47*Assumptions!$C$4*Assumptions!$C$5</f>
        <v/>
      </c>
      <c r="J47" s="5">
        <f>IF(E47&lt;30,Assumptions!$C$11,LOOKUP(E47,Assumptions!$A$17:$A$21,Assumptions!$B$17:$B$21))</f>
        <v/>
      </c>
      <c r="K47" s="5">
        <f>H47+I47+J47</f>
        <v/>
      </c>
      <c r="L47" s="5">
        <f>E47-G47-K47</f>
        <v/>
      </c>
      <c r="M47" s="4">
        <f>L47/D47</f>
        <v/>
      </c>
      <c r="N47" s="4">
        <f>L47/E47</f>
        <v/>
      </c>
      <c r="O47" s="4">
        <f>L47/(D47/(1+Assumptions!$C$2))</f>
        <v/>
      </c>
      <c r="P47" s="5">
        <f>L47-Assumptions!$C$6</f>
        <v/>
      </c>
      <c r="Q47" s="5">
        <f>L47</f>
        <v/>
      </c>
      <c r="R47" s="5">
        <f>Assumptions!$C$7*D47/(1+Assumptions!$C$2)+Assumptions!$C$8</f>
        <v/>
      </c>
      <c r="S47" s="5">
        <f>L47-R47</f>
        <v/>
      </c>
      <c r="T47" s="4">
        <f>S47/(E47/(1+Assumptions!$C$2))</f>
        <v/>
      </c>
      <c r="U47">
        <f>IF(T47&lt;0.15,"RED",IF(T47&lt;0.3,"YELLOW","GREEN"))</f>
        <v/>
      </c>
      <c r="V47" s="5">
        <f>D47/(1+Assumptions!$C$2)-R47</f>
        <v/>
      </c>
      <c r="W47" s="5">
        <f>S47-V47</f>
        <v/>
      </c>
      <c r="X47" s="5">
        <f>E47-G47-E47*Assumptions!$C$3-E47*Assumptions!$C$4*Assumptions!$C$5-MIN(Assumptions!$C$9,Assumptions!$C$10*E47)</f>
        <v/>
      </c>
      <c r="Y47" t="n">
        <v>8</v>
      </c>
      <c r="Z47" s="4">
        <f>IF(Y47="","",E47/Y47-1)</f>
        <v/>
      </c>
    </row>
    <row r="48">
      <c r="A48" t="n">
        <v>47</v>
      </c>
      <c r="B48" t="inlineStr">
        <is>
          <t>سحاوق</t>
        </is>
      </c>
      <c r="D48" t="n">
        <v>7</v>
      </c>
      <c r="E48" t="n">
        <v>8</v>
      </c>
      <c r="F48" s="4">
        <f>E48/D48-1</f>
        <v/>
      </c>
      <c r="G48" s="5">
        <f>E48*Assumptions!$C$2/(1+Assumptions!$C$2)</f>
        <v/>
      </c>
      <c r="H48" s="5">
        <f>E48*Assumptions!$C$3</f>
        <v/>
      </c>
      <c r="I48" s="5">
        <f>E48*Assumptions!$C$4*Assumptions!$C$5</f>
        <v/>
      </c>
      <c r="J48" s="5">
        <f>IF(E48&lt;30,Assumptions!$C$11,LOOKUP(E48,Assumptions!$A$17:$A$21,Assumptions!$B$17:$B$21))</f>
        <v/>
      </c>
      <c r="K48" s="5">
        <f>H48+I48+J48</f>
        <v/>
      </c>
      <c r="L48" s="5">
        <f>E48-G48-K48</f>
        <v/>
      </c>
      <c r="M48" s="4">
        <f>L48/D48</f>
        <v/>
      </c>
      <c r="N48" s="4">
        <f>L48/E48</f>
        <v/>
      </c>
      <c r="O48" s="4">
        <f>L48/(D48/(1+Assumptions!$C$2))</f>
        <v/>
      </c>
      <c r="P48" s="5">
        <f>L48-Assumptions!$C$6</f>
        <v/>
      </c>
      <c r="Q48" s="5">
        <f>L48</f>
        <v/>
      </c>
      <c r="R48" s="5">
        <f>Assumptions!$C$7*D48/(1+Assumptions!$C$2)+Assumptions!$C$8</f>
        <v/>
      </c>
      <c r="S48" s="5">
        <f>L48-R48</f>
        <v/>
      </c>
      <c r="T48" s="4">
        <f>S48/(E48/(1+Assumptions!$C$2))</f>
        <v/>
      </c>
      <c r="U48">
        <f>IF(T48&lt;0.15,"RED",IF(T48&lt;0.3,"YELLOW","GREEN"))</f>
        <v/>
      </c>
      <c r="V48" s="5">
        <f>D48/(1+Assumptions!$C$2)-R48</f>
        <v/>
      </c>
      <c r="W48" s="5">
        <f>S48-V48</f>
        <v/>
      </c>
      <c r="X48" s="5">
        <f>E48-G48-E48*Assumptions!$C$3-E48*Assumptions!$C$4*Assumptions!$C$5-MIN(Assumptions!$C$9,Assumptions!$C$10*E48)</f>
        <v/>
      </c>
      <c r="Y48" t="n">
        <v>5</v>
      </c>
      <c r="Z48" s="4">
        <f>IF(Y48="","",E48/Y48-1)</f>
        <v/>
      </c>
      <c r="AA48" t="inlineStr">
        <is>
          <t>سعر HS مكتوب يدوياً ولا يساوي D×1.2</t>
        </is>
      </c>
    </row>
    <row r="49">
      <c r="A49" t="n">
        <v>48</v>
      </c>
      <c r="B49" t="inlineStr">
        <is>
          <t>حبحب</t>
        </is>
      </c>
      <c r="D49" t="n">
        <v>7</v>
      </c>
      <c r="E49" t="n">
        <v>8</v>
      </c>
      <c r="F49" s="4">
        <f>E49/D49-1</f>
        <v/>
      </c>
      <c r="G49" s="5">
        <f>E49*Assumptions!$C$2/(1+Assumptions!$C$2)</f>
        <v/>
      </c>
      <c r="H49" s="5">
        <f>E49*Assumptions!$C$3</f>
        <v/>
      </c>
      <c r="I49" s="5">
        <f>E49*Assumptions!$C$4*Assumptions!$C$5</f>
        <v/>
      </c>
      <c r="J49" s="5">
        <f>IF(E49&lt;30,Assumptions!$C$11,LOOKUP(E49,Assumptions!$A$17:$A$21,Assumptions!$B$17:$B$21))</f>
        <v/>
      </c>
      <c r="K49" s="5">
        <f>H49+I49+J49</f>
        <v/>
      </c>
      <c r="L49" s="5">
        <f>E49-G49-K49</f>
        <v/>
      </c>
      <c r="M49" s="4">
        <f>L49/D49</f>
        <v/>
      </c>
      <c r="N49" s="4">
        <f>L49/E49</f>
        <v/>
      </c>
      <c r="O49" s="4">
        <f>L49/(D49/(1+Assumptions!$C$2))</f>
        <v/>
      </c>
      <c r="P49" s="5">
        <f>L49-Assumptions!$C$6</f>
        <v/>
      </c>
      <c r="Q49" s="5">
        <f>L49</f>
        <v/>
      </c>
      <c r="R49" s="5">
        <f>Assumptions!$C$7*D49/(1+Assumptions!$C$2)+Assumptions!$C$8</f>
        <v/>
      </c>
      <c r="S49" s="5">
        <f>L49-R49</f>
        <v/>
      </c>
      <c r="T49" s="4">
        <f>S49/(E49/(1+Assumptions!$C$2))</f>
        <v/>
      </c>
      <c r="U49">
        <f>IF(T49&lt;0.15,"RED",IF(T49&lt;0.3,"YELLOW","GREEN"))</f>
        <v/>
      </c>
      <c r="V49" s="5">
        <f>D49/(1+Assumptions!$C$2)-R49</f>
        <v/>
      </c>
      <c r="W49" s="5">
        <f>S49-V49</f>
        <v/>
      </c>
      <c r="X49" s="5">
        <f>E49-G49-E49*Assumptions!$C$3-E49*Assumptions!$C$4*Assumptions!$C$5-MIN(Assumptions!$C$9,Assumptions!$C$10*E49)</f>
        <v/>
      </c>
      <c r="Y49" t="n">
        <v>5</v>
      </c>
      <c r="Z49" s="4">
        <f>IF(Y49="","",E49/Y49-1)</f>
        <v/>
      </c>
      <c r="AA49" t="inlineStr">
        <is>
          <t>سعر HS مكتوب يدوياً ولا يساوي D×1.2</t>
        </is>
      </c>
    </row>
    <row r="50">
      <c r="A50" t="n">
        <v>49</v>
      </c>
      <c r="B50" t="inlineStr">
        <is>
          <t>زبادي مصلح</t>
        </is>
      </c>
      <c r="D50" t="n">
        <v>7</v>
      </c>
      <c r="E50" t="n">
        <v>8</v>
      </c>
      <c r="F50" s="4">
        <f>E50/D50-1</f>
        <v/>
      </c>
      <c r="G50" s="5">
        <f>E50*Assumptions!$C$2/(1+Assumptions!$C$2)</f>
        <v/>
      </c>
      <c r="H50" s="5">
        <f>E50*Assumptions!$C$3</f>
        <v/>
      </c>
      <c r="I50" s="5">
        <f>E50*Assumptions!$C$4*Assumptions!$C$5</f>
        <v/>
      </c>
      <c r="J50" s="5">
        <f>IF(E50&lt;30,Assumptions!$C$11,LOOKUP(E50,Assumptions!$A$17:$A$21,Assumptions!$B$17:$B$21))</f>
        <v/>
      </c>
      <c r="K50" s="5">
        <f>H50+I50+J50</f>
        <v/>
      </c>
      <c r="L50" s="5">
        <f>E50-G50-K50</f>
        <v/>
      </c>
      <c r="M50" s="4">
        <f>L50/D50</f>
        <v/>
      </c>
      <c r="N50" s="4">
        <f>L50/E50</f>
        <v/>
      </c>
      <c r="O50" s="4">
        <f>L50/(D50/(1+Assumptions!$C$2))</f>
        <v/>
      </c>
      <c r="P50" s="5">
        <f>L50-Assumptions!$C$6</f>
        <v/>
      </c>
      <c r="Q50" s="5">
        <f>L50</f>
        <v/>
      </c>
      <c r="R50" s="5">
        <f>Assumptions!$C$7*D50/(1+Assumptions!$C$2)+Assumptions!$C$8</f>
        <v/>
      </c>
      <c r="S50" s="5">
        <f>L50-R50</f>
        <v/>
      </c>
      <c r="T50" s="4">
        <f>S50/(E50/(1+Assumptions!$C$2))</f>
        <v/>
      </c>
      <c r="U50">
        <f>IF(T50&lt;0.15,"RED",IF(T50&lt;0.3,"YELLOW","GREEN"))</f>
        <v/>
      </c>
      <c r="V50" s="5">
        <f>D50/(1+Assumptions!$C$2)-R50</f>
        <v/>
      </c>
      <c r="W50" s="5">
        <f>S50-V50</f>
        <v/>
      </c>
      <c r="X50" s="5">
        <f>E50-G50-E50*Assumptions!$C$3-E50*Assumptions!$C$4*Assumptions!$C$5-MIN(Assumptions!$C$9,Assumptions!$C$10*E50)</f>
        <v/>
      </c>
      <c r="Y50" t="n">
        <v>4</v>
      </c>
      <c r="Z50" s="4">
        <f>IF(Y50="","",E50/Y50-1)</f>
        <v/>
      </c>
      <c r="AA50" t="inlineStr">
        <is>
          <t>سعر HS مكتوب يدوياً ولا يساوي D×1.2</t>
        </is>
      </c>
    </row>
    <row r="51">
      <c r="A51" t="n">
        <v>50</v>
      </c>
      <c r="B51" t="inlineStr">
        <is>
          <t>دقيق</t>
        </is>
      </c>
      <c r="D51" t="n">
        <v>7</v>
      </c>
      <c r="E51" t="n">
        <v>8</v>
      </c>
      <c r="F51" s="4">
        <f>E51/D51-1</f>
        <v/>
      </c>
      <c r="G51" s="5">
        <f>E51*Assumptions!$C$2/(1+Assumptions!$C$2)</f>
        <v/>
      </c>
      <c r="H51" s="5">
        <f>E51*Assumptions!$C$3</f>
        <v/>
      </c>
      <c r="I51" s="5">
        <f>E51*Assumptions!$C$4*Assumptions!$C$5</f>
        <v/>
      </c>
      <c r="J51" s="5">
        <f>IF(E51&lt;30,Assumptions!$C$11,LOOKUP(E51,Assumptions!$A$17:$A$21,Assumptions!$B$17:$B$21))</f>
        <v/>
      </c>
      <c r="K51" s="5">
        <f>H51+I51+J51</f>
        <v/>
      </c>
      <c r="L51" s="5">
        <f>E51-G51-K51</f>
        <v/>
      </c>
      <c r="M51" s="4">
        <f>L51/D51</f>
        <v/>
      </c>
      <c r="N51" s="4">
        <f>L51/E51</f>
        <v/>
      </c>
      <c r="O51" s="4">
        <f>L51/(D51/(1+Assumptions!$C$2))</f>
        <v/>
      </c>
      <c r="P51" s="5">
        <f>L51-Assumptions!$C$6</f>
        <v/>
      </c>
      <c r="Q51" s="5">
        <f>L51</f>
        <v/>
      </c>
      <c r="R51" s="5">
        <f>Assumptions!$C$7*D51/(1+Assumptions!$C$2)+Assumptions!$C$8</f>
        <v/>
      </c>
      <c r="S51" s="5">
        <f>L51-R51</f>
        <v/>
      </c>
      <c r="T51" s="4">
        <f>S51/(E51/(1+Assumptions!$C$2))</f>
        <v/>
      </c>
      <c r="U51">
        <f>IF(T51&lt;0.15,"RED",IF(T51&lt;0.3,"YELLOW","GREEN"))</f>
        <v/>
      </c>
      <c r="V51" s="5">
        <f>D51/(1+Assumptions!$C$2)-R51</f>
        <v/>
      </c>
      <c r="W51" s="5">
        <f>S51-V51</f>
        <v/>
      </c>
      <c r="X51" s="5">
        <f>E51-G51-E51*Assumptions!$C$3-E51*Assumptions!$C$4*Assumptions!$C$5-MIN(Assumptions!$C$9,Assumptions!$C$10*E51)</f>
        <v/>
      </c>
      <c r="Y51" t="n">
        <v>5</v>
      </c>
      <c r="Z51" s="4">
        <f>IF(Y51="","",E51/Y51-1)</f>
        <v/>
      </c>
      <c r="AA51" t="inlineStr">
        <is>
          <t>سعر HS مكتوب يدوياً ولا يساوي D×1.2</t>
        </is>
      </c>
    </row>
    <row r="52">
      <c r="A52" t="n">
        <v>51</v>
      </c>
      <c r="B52" t="inlineStr">
        <is>
          <t>خمير</t>
        </is>
      </c>
      <c r="D52" t="n">
        <v>7</v>
      </c>
      <c r="E52" t="n">
        <v>8</v>
      </c>
      <c r="F52" s="4">
        <f>E52/D52-1</f>
        <v/>
      </c>
      <c r="G52" s="5">
        <f>E52*Assumptions!$C$2/(1+Assumptions!$C$2)</f>
        <v/>
      </c>
      <c r="H52" s="5">
        <f>E52*Assumptions!$C$3</f>
        <v/>
      </c>
      <c r="I52" s="5">
        <f>E52*Assumptions!$C$4*Assumptions!$C$5</f>
        <v/>
      </c>
      <c r="J52" s="5">
        <f>IF(E52&lt;30,Assumptions!$C$11,LOOKUP(E52,Assumptions!$A$17:$A$21,Assumptions!$B$17:$B$21))</f>
        <v/>
      </c>
      <c r="K52" s="5">
        <f>H52+I52+J52</f>
        <v/>
      </c>
      <c r="L52" s="5">
        <f>E52-G52-K52</f>
        <v/>
      </c>
      <c r="M52" s="4">
        <f>L52/D52</f>
        <v/>
      </c>
      <c r="N52" s="4">
        <f>L52/E52</f>
        <v/>
      </c>
      <c r="O52" s="4">
        <f>L52/(D52/(1+Assumptions!$C$2))</f>
        <v/>
      </c>
      <c r="P52" s="5">
        <f>L52-Assumptions!$C$6</f>
        <v/>
      </c>
      <c r="Q52" s="5">
        <f>L52</f>
        <v/>
      </c>
      <c r="R52" s="5">
        <f>Assumptions!$C$7*D52/(1+Assumptions!$C$2)+Assumptions!$C$8</f>
        <v/>
      </c>
      <c r="S52" s="5">
        <f>L52-R52</f>
        <v/>
      </c>
      <c r="T52" s="4">
        <f>S52/(E52/(1+Assumptions!$C$2))</f>
        <v/>
      </c>
      <c r="U52">
        <f>IF(T52&lt;0.15,"RED",IF(T52&lt;0.3,"YELLOW","GREEN"))</f>
        <v/>
      </c>
      <c r="V52" s="5">
        <f>D52/(1+Assumptions!$C$2)-R52</f>
        <v/>
      </c>
      <c r="W52" s="5">
        <f>S52-V52</f>
        <v/>
      </c>
      <c r="X52" s="5">
        <f>E52-G52-E52*Assumptions!$C$3-E52*Assumptions!$C$4*Assumptions!$C$5-MIN(Assumptions!$C$9,Assumptions!$C$10*E52)</f>
        <v/>
      </c>
      <c r="Y52" t="n">
        <v>5</v>
      </c>
      <c r="Z52" s="4">
        <f>IF(Y52="","",E52/Y52-1)</f>
        <v/>
      </c>
      <c r="AA52" t="inlineStr">
        <is>
          <t>سعر HS مكتوب يدوياً ولا يساوي D×1.2</t>
        </is>
      </c>
    </row>
    <row r="53">
      <c r="A53" t="n">
        <v>52</v>
      </c>
      <c r="B53" t="inlineStr">
        <is>
          <t>بيبسي</t>
        </is>
      </c>
      <c r="D53" t="n">
        <v>4</v>
      </c>
      <c r="E53" t="n">
        <v>4</v>
      </c>
      <c r="F53" s="4">
        <f>E53/D53-1</f>
        <v/>
      </c>
      <c r="G53" s="5">
        <f>E53*Assumptions!$C$2/(1+Assumptions!$C$2)</f>
        <v/>
      </c>
      <c r="H53" s="5">
        <f>E53*Assumptions!$C$3</f>
        <v/>
      </c>
      <c r="I53" s="5">
        <f>E53*Assumptions!$C$4*Assumptions!$C$5</f>
        <v/>
      </c>
      <c r="J53" s="5">
        <f>IF(E53&lt;30,Assumptions!$C$11,LOOKUP(E53,Assumptions!$A$17:$A$21,Assumptions!$B$17:$B$21))</f>
        <v/>
      </c>
      <c r="K53" s="5">
        <f>H53+I53+J53</f>
        <v/>
      </c>
      <c r="L53" s="5">
        <f>E53-G53-K53</f>
        <v/>
      </c>
      <c r="M53" s="4">
        <f>L53/D53</f>
        <v/>
      </c>
      <c r="N53" s="4">
        <f>L53/E53</f>
        <v/>
      </c>
      <c r="O53" s="4">
        <f>L53/(D53/(1+Assumptions!$C$2))</f>
        <v/>
      </c>
      <c r="P53" s="5">
        <f>L53-Assumptions!$C$6</f>
        <v/>
      </c>
      <c r="Q53" s="5">
        <f>L53</f>
        <v/>
      </c>
      <c r="R53" s="5">
        <f>Assumptions!$C$7*D53/(1+Assumptions!$C$2)+Assumptions!$C$8</f>
        <v/>
      </c>
      <c r="S53" s="5">
        <f>L53-R53</f>
        <v/>
      </c>
      <c r="T53" s="4">
        <f>S53/(E53/(1+Assumptions!$C$2))</f>
        <v/>
      </c>
      <c r="U53">
        <f>IF(T53&lt;0.15,"RED",IF(T53&lt;0.3,"YELLOW","GREEN"))</f>
        <v/>
      </c>
      <c r="V53" s="5">
        <f>D53/(1+Assumptions!$C$2)-R53</f>
        <v/>
      </c>
      <c r="W53" s="5">
        <f>S53-V53</f>
        <v/>
      </c>
      <c r="X53" s="5">
        <f>E53-G53-E53*Assumptions!$C$3-E53*Assumptions!$C$4*Assumptions!$C$5-MIN(Assumptions!$C$9,Assumptions!$C$10*E53)</f>
        <v/>
      </c>
      <c r="Y53" t="n">
        <v>2.5</v>
      </c>
      <c r="Z53" s="4">
        <f>IF(Y53="","",E53/Y53-1)</f>
        <v/>
      </c>
      <c r="AA53" t="inlineStr">
        <is>
          <t>سعر HS مكتوب يدوياً ولا يساوي D×1.2</t>
        </is>
      </c>
    </row>
    <row r="54">
      <c r="A54" t="n">
        <v>53</v>
      </c>
      <c r="B54" t="inlineStr">
        <is>
          <t>حمضيات</t>
        </is>
      </c>
      <c r="D54" t="n">
        <v>2.5</v>
      </c>
      <c r="E54" t="n">
        <v>4</v>
      </c>
      <c r="F54" s="4">
        <f>E54/D54-1</f>
        <v/>
      </c>
      <c r="G54" s="5">
        <f>E54*Assumptions!$C$2/(1+Assumptions!$C$2)</f>
        <v/>
      </c>
      <c r="H54" s="5">
        <f>E54*Assumptions!$C$3</f>
        <v/>
      </c>
      <c r="I54" s="5">
        <f>E54*Assumptions!$C$4*Assumptions!$C$5</f>
        <v/>
      </c>
      <c r="J54" s="5">
        <f>IF(E54&lt;30,Assumptions!$C$11,LOOKUP(E54,Assumptions!$A$17:$A$21,Assumptions!$B$17:$B$21))</f>
        <v/>
      </c>
      <c r="K54" s="5">
        <f>H54+I54+J54</f>
        <v/>
      </c>
      <c r="L54" s="5">
        <f>E54-G54-K54</f>
        <v/>
      </c>
      <c r="M54" s="4">
        <f>L54/D54</f>
        <v/>
      </c>
      <c r="N54" s="4">
        <f>L54/E54</f>
        <v/>
      </c>
      <c r="O54" s="4">
        <f>L54/(D54/(1+Assumptions!$C$2))</f>
        <v/>
      </c>
      <c r="P54" s="5">
        <f>L54-Assumptions!$C$6</f>
        <v/>
      </c>
      <c r="Q54" s="5">
        <f>L54</f>
        <v/>
      </c>
      <c r="R54" s="5">
        <f>Assumptions!$C$7*D54/(1+Assumptions!$C$2)+Assumptions!$C$8</f>
        <v/>
      </c>
      <c r="S54" s="5">
        <f>L54-R54</f>
        <v/>
      </c>
      <c r="T54" s="4">
        <f>S54/(E54/(1+Assumptions!$C$2))</f>
        <v/>
      </c>
      <c r="U54">
        <f>IF(T54&lt;0.15,"RED",IF(T54&lt;0.3,"YELLOW","GREEN"))</f>
        <v/>
      </c>
      <c r="V54" s="5">
        <f>D54/(1+Assumptions!$C$2)-R54</f>
        <v/>
      </c>
      <c r="W54" s="5">
        <f>S54-V54</f>
        <v/>
      </c>
      <c r="X54" s="5">
        <f>E54-G54-E54*Assumptions!$C$3-E54*Assumptions!$C$4*Assumptions!$C$5-MIN(Assumptions!$C$9,Assumptions!$C$10*E54)</f>
        <v/>
      </c>
      <c r="Y54" t="n">
        <v>2.5</v>
      </c>
      <c r="Z54" s="4">
        <f>IF(Y54="","",E54/Y54-1)</f>
        <v/>
      </c>
      <c r="AA54" t="inlineStr">
        <is>
          <t>لا يوجد سعر D في الإكسل (خانة فارغة) - استُخدم سعر المنيو 2.5 كسعر مباشر؛ سعر HS=4 مكتوب يدوياً</t>
        </is>
      </c>
    </row>
    <row r="55">
      <c r="A55" t="n">
        <v>54</v>
      </c>
      <c r="B55" t="inlineStr">
        <is>
          <t>سفن اب</t>
        </is>
      </c>
      <c r="D55" t="n">
        <v>2.5</v>
      </c>
      <c r="E55" t="n">
        <v>4</v>
      </c>
      <c r="F55" s="4">
        <f>E55/D55-1</f>
        <v/>
      </c>
      <c r="G55" s="5">
        <f>E55*Assumptions!$C$2/(1+Assumptions!$C$2)</f>
        <v/>
      </c>
      <c r="H55" s="5">
        <f>E55*Assumptions!$C$3</f>
        <v/>
      </c>
      <c r="I55" s="5">
        <f>E55*Assumptions!$C$4*Assumptions!$C$5</f>
        <v/>
      </c>
      <c r="J55" s="5">
        <f>IF(E55&lt;30,Assumptions!$C$11,LOOKUP(E55,Assumptions!$A$17:$A$21,Assumptions!$B$17:$B$21))</f>
        <v/>
      </c>
      <c r="K55" s="5">
        <f>H55+I55+J55</f>
        <v/>
      </c>
      <c r="L55" s="5">
        <f>E55-G55-K55</f>
        <v/>
      </c>
      <c r="M55" s="4">
        <f>L55/D55</f>
        <v/>
      </c>
      <c r="N55" s="4">
        <f>L55/E55</f>
        <v/>
      </c>
      <c r="O55" s="4">
        <f>L55/(D55/(1+Assumptions!$C$2))</f>
        <v/>
      </c>
      <c r="P55" s="5">
        <f>L55-Assumptions!$C$6</f>
        <v/>
      </c>
      <c r="Q55" s="5">
        <f>L55</f>
        <v/>
      </c>
      <c r="R55" s="5">
        <f>Assumptions!$C$7*D55/(1+Assumptions!$C$2)+Assumptions!$C$8</f>
        <v/>
      </c>
      <c r="S55" s="5">
        <f>L55-R55</f>
        <v/>
      </c>
      <c r="T55" s="4">
        <f>S55/(E55/(1+Assumptions!$C$2))</f>
        <v/>
      </c>
      <c r="U55">
        <f>IF(T55&lt;0.15,"RED",IF(T55&lt;0.3,"YELLOW","GREEN"))</f>
        <v/>
      </c>
      <c r="V55" s="5">
        <f>D55/(1+Assumptions!$C$2)-R55</f>
        <v/>
      </c>
      <c r="W55" s="5">
        <f>S55-V55</f>
        <v/>
      </c>
      <c r="X55" s="5">
        <f>E55-G55-E55*Assumptions!$C$3-E55*Assumptions!$C$4*Assumptions!$C$5-MIN(Assumptions!$C$9,Assumptions!$C$10*E55)</f>
        <v/>
      </c>
      <c r="Y55" t="n">
        <v>2.5</v>
      </c>
      <c r="Z55" s="4">
        <f>IF(Y55="","",E55/Y55-1)</f>
        <v/>
      </c>
      <c r="AA55" t="inlineStr">
        <is>
          <t>لا يوجد سعر D في الإكسل (خانة فارغة) - استُخدم سعر المنيو 2.5 كسعر مباشر؛ سعر HS=4 مكتوب يدوياً</t>
        </is>
      </c>
    </row>
    <row r="56">
      <c r="A56" t="n">
        <v>55</v>
      </c>
      <c r="B56" t="inlineStr">
        <is>
          <t>لبن المراعى</t>
        </is>
      </c>
      <c r="C56" t="inlineStr">
        <is>
          <t>مشروبات</t>
        </is>
      </c>
      <c r="D56" t="n">
        <v>3</v>
      </c>
      <c r="E56" t="n">
        <v>3</v>
      </c>
      <c r="F56" s="4">
        <f>E56/D56-1</f>
        <v/>
      </c>
      <c r="G56" s="5">
        <f>E56*Assumptions!$C$2/(1+Assumptions!$C$2)</f>
        <v/>
      </c>
      <c r="H56" s="5">
        <f>E56*Assumptions!$C$3</f>
        <v/>
      </c>
      <c r="I56" s="5">
        <f>E56*Assumptions!$C$4*Assumptions!$C$5</f>
        <v/>
      </c>
      <c r="J56" s="5">
        <f>IF(E56&lt;30,Assumptions!$C$11,LOOKUP(E56,Assumptions!$A$17:$A$21,Assumptions!$B$17:$B$21))</f>
        <v/>
      </c>
      <c r="K56" s="5">
        <f>H56+I56+J56</f>
        <v/>
      </c>
      <c r="L56" s="5">
        <f>E56-G56-K56</f>
        <v/>
      </c>
      <c r="M56" s="4">
        <f>L56/D56</f>
        <v/>
      </c>
      <c r="N56" s="4">
        <f>L56/E56</f>
        <v/>
      </c>
      <c r="O56" s="4">
        <f>L56/(D56/(1+Assumptions!$C$2))</f>
        <v/>
      </c>
      <c r="P56" s="5">
        <f>L56-Assumptions!$C$6</f>
        <v/>
      </c>
      <c r="Q56" s="5">
        <f>L56</f>
        <v/>
      </c>
      <c r="R56" s="5">
        <f>Assumptions!$C$7*D56/(1+Assumptions!$C$2)+Assumptions!$C$8</f>
        <v/>
      </c>
      <c r="S56" s="5">
        <f>L56-R56</f>
        <v/>
      </c>
      <c r="T56" s="4">
        <f>S56/(E56/(1+Assumptions!$C$2))</f>
        <v/>
      </c>
      <c r="U56">
        <f>IF(T56&lt;0.15,"RED",IF(T56&lt;0.3,"YELLOW","GREEN"))</f>
        <v/>
      </c>
      <c r="V56" s="5">
        <f>D56/(1+Assumptions!$C$2)-R56</f>
        <v/>
      </c>
      <c r="W56" s="5">
        <f>S56-V56</f>
        <v/>
      </c>
      <c r="X56" s="5">
        <f>E56-G56-E56*Assumptions!$C$3-E56*Assumptions!$C$4*Assumptions!$C$5-MIN(Assumptions!$C$9,Assumptions!$C$10*E56)</f>
        <v/>
      </c>
      <c r="Y56" t="n">
        <v>2</v>
      </c>
      <c r="Z56" s="4">
        <f>IF(Y56="","",E56/Y56-1)</f>
        <v/>
      </c>
      <c r="AA56" t="inlineStr">
        <is>
          <t>سعر HS مكتوب يدوياً ولا يساوي D×1.2</t>
        </is>
      </c>
    </row>
    <row r="57">
      <c r="A57" t="n">
        <v>56</v>
      </c>
      <c r="B57" t="inlineStr">
        <is>
          <t>ماء</t>
        </is>
      </c>
      <c r="D57" t="n">
        <v>2</v>
      </c>
      <c r="E57" t="n">
        <v>2</v>
      </c>
      <c r="F57" s="4">
        <f>E57/D57-1</f>
        <v/>
      </c>
      <c r="G57" s="5">
        <f>E57*Assumptions!$C$2/(1+Assumptions!$C$2)</f>
        <v/>
      </c>
      <c r="H57" s="5">
        <f>E57*Assumptions!$C$3</f>
        <v/>
      </c>
      <c r="I57" s="5">
        <f>E57*Assumptions!$C$4*Assumptions!$C$5</f>
        <v/>
      </c>
      <c r="J57" s="5">
        <f>IF(E57&lt;30,Assumptions!$C$11,LOOKUP(E57,Assumptions!$A$17:$A$21,Assumptions!$B$17:$B$21))</f>
        <v/>
      </c>
      <c r="K57" s="5">
        <f>H57+I57+J57</f>
        <v/>
      </c>
      <c r="L57" s="5">
        <f>E57-G57-K57</f>
        <v/>
      </c>
      <c r="M57" s="4">
        <f>L57/D57</f>
        <v/>
      </c>
      <c r="N57" s="4">
        <f>L57/E57</f>
        <v/>
      </c>
      <c r="O57" s="4">
        <f>L57/(D57/(1+Assumptions!$C$2))</f>
        <v/>
      </c>
      <c r="P57" s="5">
        <f>L57-Assumptions!$C$6</f>
        <v/>
      </c>
      <c r="Q57" s="5">
        <f>L57</f>
        <v/>
      </c>
      <c r="R57" s="5">
        <f>Assumptions!$C$7*D57/(1+Assumptions!$C$2)+Assumptions!$C$8</f>
        <v/>
      </c>
      <c r="S57" s="5">
        <f>L57-R57</f>
        <v/>
      </c>
      <c r="T57" s="4">
        <f>S57/(E57/(1+Assumptions!$C$2))</f>
        <v/>
      </c>
      <c r="U57">
        <f>IF(T57&lt;0.15,"RED",IF(T57&lt;0.3,"YELLOW","GREEN"))</f>
        <v/>
      </c>
      <c r="V57" s="5">
        <f>D57/(1+Assumptions!$C$2)-R57</f>
        <v/>
      </c>
      <c r="W57" s="5">
        <f>S57-V57</f>
        <v/>
      </c>
      <c r="X57" s="5">
        <f>E57-G57-E57*Assumptions!$C$3-E57*Assumptions!$C$4*Assumptions!$C$5-MIN(Assumptions!$C$9,Assumptions!$C$10*E57)</f>
        <v/>
      </c>
      <c r="Y57" t="n">
        <v>1</v>
      </c>
      <c r="Z57" s="4">
        <f>IF(Y57="","",E57/Y57-1)</f>
        <v/>
      </c>
      <c r="AA57" t="inlineStr">
        <is>
          <t>سعر HS مكتوب يدوياً ولا يساوي D×1.2</t>
        </is>
      </c>
    </row>
  </sheetData>
  <conditionalFormatting sqref="U2:U57">
    <cfRule type="cellIs" priority="1" operator="equal" dxfId="0">
      <formula>"RED"</formula>
    </cfRule>
    <cfRule type="cellIs" priority="2" operator="equal" dxfId="1">
      <formula>"YELLOW"</formula>
    </cfRule>
    <cfRule type="cellIs" priority="3" operator="equal" dxfId="2">
      <formula>"GREEN"</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2:O442"/>
  <sheetViews>
    <sheetView rightToLeft="1" workbookViewId="0">
      <selection activeCell="A1" sqref="A1"/>
    </sheetView>
  </sheetViews>
  <sheetFormatPr baseColWidth="8" defaultRowHeight="15"/>
  <cols>
    <col width="30" customWidth="1" min="1" max="1"/>
  </cols>
  <sheetData>
    <row r="2">
      <c r="A2" s="6" t="inlineStr">
        <is>
          <t>تقييم عرض هنقرستيشن لمطعم «أكلات بيتنا» — نموذج قرار مالي</t>
        </is>
      </c>
    </row>
    <row r="4">
      <c r="A4" s="6" t="inlineStr">
        <is>
          <t>الخلاصة في 8 أسطر</t>
        </is>
      </c>
    </row>
    <row r="6">
      <c r="A6" s="6" t="inlineStr">
        <is>
          <t>0) تفريق الحقائق عن الحسابات عن الافتراضات</t>
        </is>
      </c>
    </row>
    <row r="7">
      <c r="A7" t="inlineStr">
        <is>
          <t>#</t>
        </is>
      </c>
      <c r="B7" t="inlineStr">
        <is>
          <t>الافتراض</t>
        </is>
      </c>
      <c r="C7" t="inlineStr">
        <is>
          <t>ملاحظة</t>
        </is>
      </c>
    </row>
    <row r="8">
      <c r="A8" t="inlineStr">
        <is>
          <t>C1</t>
        </is>
      </c>
      <c r="B8" t="inlineStr">
        <is>
          <t>أسعار المنيو والإكسل **شاملة** ضريبة القيمة المضافة 15%</t>
        </is>
      </c>
      <c r="C8" t="inlineStr">
        <is>
          <t>نظاماً أسعار المستهلك تُعرض شاملة الضريبة؛ لكن المستندات لم تذكر ذلك</t>
        </is>
      </c>
    </row>
    <row r="9">
      <c r="A9" t="inlineStr">
        <is>
          <t>C2</t>
        </is>
      </c>
      <c r="B9" t="inlineStr">
        <is>
          <t>نسبتا 21% و2.5% تُحسبان على **إجمالي الطلب شامل الضريبة**</t>
        </is>
      </c>
      <c r="C9" t="inlineStr">
        <is>
          <t>العقد: «من إجمالي قيمة الطلبات» + شرائح السلة شاملة الضريبة. **غير محسوم** → أعرض متغيراً بديلاً (ب)</t>
        </is>
      </c>
    </row>
    <row r="10">
      <c r="A10" t="inlineStr">
        <is>
          <t>C3</t>
        </is>
      </c>
      <c r="B10" t="inlineStr">
        <is>
          <t>ضريبة القيمة المضافة على فواتير المنصة قابلة للاسترداد (المطعم مسجل: رقم ضريبي موجود بالعقد)</t>
        </is>
      </c>
      <c r="C10" t="inlineStr">
        <is>
          <t>إن لم تكن قابلة للاسترداد ترتفع التكلفة ×1.15</t>
        </is>
      </c>
    </row>
    <row r="11">
      <c r="A11" t="inlineStr">
        <is>
          <t>C4</t>
        </is>
      </c>
      <c r="B11" t="inlineStr">
        <is>
          <t>جدول 7/8/9/11/13 ريال = مبلغ **يتحمله المطعم** عن كل طلب توصيل (صافٍ، بدون ضريبة إضافية)</t>
        </is>
      </c>
      <c r="C11" t="inlineStr">
        <is>
          <t>تفسير؛ النص لا يقول صراحة «يخصم من المطعم»</t>
        </is>
      </c>
    </row>
    <row r="12">
      <c r="A12" t="inlineStr">
        <is>
          <t>C5</t>
        </is>
      </c>
      <c r="B12" t="inlineStr">
        <is>
          <t>سلة أقل من 30 ريال: 7 ريال (أقل شريحة)</t>
        </is>
      </c>
      <c r="C12" t="inlineStr">
        <is>
          <t>العقد لا يعرّف شريحة أقل من 30 — فراغ تعاقدي</t>
        </is>
      </c>
    </row>
    <row r="13">
      <c r="A13" t="inlineStr">
        <is>
          <t>C6</t>
        </is>
      </c>
      <c r="B13" t="inlineStr">
        <is>
          <t>100% من الطلبات مدفوعة إلكترونياً (تُطبق 2.5%)</t>
        </is>
      </c>
      <c r="C13" t="inlineStr">
        <is>
          <t>متحفظ؛ العقد يسميها «عمولة الدفع الإلكتروني»</t>
        </is>
      </c>
    </row>
    <row r="14">
      <c r="A14" t="inlineStr">
        <is>
          <t>C7</t>
        </is>
      </c>
      <c r="B14" t="inlineStr">
        <is>
          <t>عمود D في الإكسل = سعر المطعم الحالي المباشر، وعمود F = سعر هنقرستيشن (D×1.2)</t>
        </is>
      </c>
      <c r="C14" t="inlineStr">
        <is>
          <t>يتفق مع قولك إنك ترفع ~20%؛ لكن D ≠ المنيو المطبوع (قسم 13)</t>
        </is>
      </c>
    </row>
    <row r="15">
      <c r="A15" t="inlineStr">
        <is>
          <t>C8</t>
        </is>
      </c>
      <c r="B15" t="inlineStr">
        <is>
          <t>تكلفة الطعام = **32%** من سعر البيع المباشر بدون ضريبة + **2 ريال** تغليف/طلب</t>
        </is>
      </c>
      <c r="C15" t="inlineStr">
        <is>
          <t>**لم تُعطَ تكلفة** — أرقام مؤقتة يجب استبدالها بتكلفة الوصفات</t>
        </is>
      </c>
    </row>
    <row r="16">
      <c r="A16" t="inlineStr">
        <is>
          <t>C9</t>
        </is>
      </c>
      <c r="B16" t="inlineStr">
        <is>
          <t>الاستلام: العميل خصم 20%، المطعم يتحمل min(2.5 ريال، قيمة الخصم) والباقي على المنصة، والعمولة 21% على السعر الكامل</t>
        </is>
      </c>
      <c r="C16" t="inlineStr">
        <is>
          <t>نص العقد متناقض (قسم 13)</t>
        </is>
      </c>
    </row>
    <row r="17">
      <c r="A17" t="inlineStr">
        <is>
          <t>C10</t>
        </is>
      </c>
      <c r="B17" t="inlineStr">
        <is>
          <t>الاشتراك 200 ريال/شهر لمدة 4 أشهر (أكتوبر–يناير) والطابعة 500 ريال موزعة على 12 شهراً</t>
        </is>
      </c>
      <c r="C17" t="inlineStr">
        <is>
          <t>العقد يذكر مبلغ 200 وتاريخي بداية/نهاية فقط</t>
        </is>
      </c>
    </row>
    <row r="18">
      <c r="A18" t="inlineStr">
        <is>
          <t>C11</t>
        </is>
      </c>
      <c r="B18" t="inlineStr">
        <is>
          <t>رسوم توصيل يدفعها العميل (إن وُجدت) لا تعود للمطعم</t>
        </is>
      </c>
      <c r="C18" t="inlineStr">
        <is>
          <t>غير مذكورة في العقد</t>
        </is>
      </c>
    </row>
    <row r="19">
      <c r="A19" t="inlineStr">
        <is>
          <t>C12</t>
        </is>
      </c>
      <c r="B19" t="inlineStr">
        <is>
          <t>حدود التصنيف: 🔴 CM&lt;15% · 🟡 15–30% · 🟢 ≥30% (من سعر HS بدون ضريبة)</t>
        </is>
      </c>
      <c r="C19" t="inlineStr">
        <is>
          <t>**تعريفي أنا** وليست من المستندات: 15% ≈ الحد الأدنى لتغطية هدر/استرجاع/عمالة تحضير؛ 30% ≈ نصف هامش البيع المباشر تقريباً</t>
        </is>
      </c>
    </row>
    <row r="21">
      <c r="A21" s="6" t="inlineStr">
        <is>
          <t>1) الشروط التجارية المستخرجة من العقد</t>
        </is>
      </c>
    </row>
    <row r="22">
      <c r="A22" t="inlineStr">
        <is>
          <t>البند</t>
        </is>
      </c>
      <c r="B22" t="inlineStr">
        <is>
          <t>القيمة/النص</t>
        </is>
      </c>
      <c r="C22" t="inlineStr">
        <is>
          <t>الموضع</t>
        </is>
      </c>
    </row>
    <row r="23">
      <c r="A23" t="inlineStr">
        <is>
          <t>عمولة توصيل هنقرستيشن</t>
        </is>
      </c>
      <c r="B23" t="inlineStr">
        <is>
          <t>**21.00%** من «إجمالي قيمة الطلبات»؛ تستمر طوال مدة العقد</t>
        </is>
      </c>
      <c r="C23" t="inlineStr">
        <is>
          <t>ص4 — خامساً-أ جدول «رسوم الخدمة الشهرية»</t>
        </is>
      </c>
    </row>
    <row r="24">
      <c r="A24" t="inlineStr">
        <is>
          <t>عمولة الدفع الإلكتروني</t>
        </is>
      </c>
      <c r="B24" t="inlineStr">
        <is>
          <t>**2.50%** (نفس الأساس؛ لا يوضح العقد هل تنطبق على كل طلب)</t>
        </is>
      </c>
      <c r="C24" t="inlineStr">
        <is>
          <t>ص4 — خامساً-أ</t>
        </is>
      </c>
    </row>
    <row r="25">
      <c r="A25" t="inlineStr">
        <is>
          <t>عمولة الاستلام من المتجر (Pickup)</t>
        </is>
      </c>
      <c r="B25" t="inlineStr">
        <is>
          <t>**21.00%** (مثل التوصيل تماماً)</t>
        </is>
      </c>
      <c r="C25" t="inlineStr">
        <is>
          <t>ص4 — خامساً-أ</t>
        </is>
      </c>
    </row>
    <row r="26">
      <c r="A26" t="inlineStr">
        <is>
          <t>الاشتراك الشهري</t>
        </is>
      </c>
      <c r="B26" t="inlineStr">
        <is>
          <t>**200.00 ريال** — بداية 01/10/2026، نهاية 01/02/2027 (غير واضح: 200 شهرياً لـ4 أشهر أم 200 إجمالاً)</t>
        </is>
      </c>
      <c r="C26" t="inlineStr">
        <is>
          <t>ص4 — خامساً-ب</t>
        </is>
      </c>
    </row>
    <row r="27">
      <c r="A27" t="inlineStr">
        <is>
          <t>رسوم الطابعة (دفعة واحدة)</t>
        </is>
      </c>
      <c r="B27" t="inlineStr">
        <is>
          <t>**500.00 ريال** طابعة V2s، بدون خصم، بداية 30/09/2026</t>
        </is>
      </c>
      <c r="C27" t="inlineStr">
        <is>
          <t>ص4 — خامساً-ب</t>
        </is>
      </c>
    </row>
    <row r="28">
      <c r="A28" t="inlineStr">
        <is>
          <t>رسوم تسجيل</t>
        </is>
      </c>
      <c r="B28" t="inlineStr">
        <is>
          <t>غير مذكورة</t>
        </is>
      </c>
      <c r="C28" t="inlineStr">
        <is>
          <t>—</t>
        </is>
      </c>
    </row>
    <row r="29">
      <c r="A29" t="inlineStr">
        <is>
          <t>مساهمة المطعم في الخصومات</t>
        </is>
      </c>
      <c r="B29" t="inlineStr">
        <is>
          <t>الاستلام فقط: حد أقصى **2.5 ريال/طلب** (وإن كان الخصم أقل من 2.5 يتحمل المطعم كامله) إضافة للعمولة 21%؛ لا توجد خصومات توصيل/حملات منصوص عليها</t>
        </is>
      </c>
      <c r="C29" t="inlineStr">
        <is>
          <t>ص5 — خامساً-جـ (Pick up - Advanced Package)</t>
        </is>
      </c>
    </row>
    <row r="30">
      <c r="A30" t="inlineStr">
        <is>
          <t>مساهمة هنقرستيشن في الخصومات</t>
        </is>
      </c>
      <c r="B30" t="inlineStr">
        <is>
          <t>خصم الاستلام «يبدأ من 20%» ويُموَّل الباقي من الطرف الأول؛ له تغيير النسبة وتحديد سقف عدد الطلبات وسقف الخصم للطلب</t>
        </is>
      </c>
      <c r="C30" t="inlineStr">
        <is>
          <t>ص5 — نفس البند</t>
        </is>
      </c>
    </row>
    <row r="31">
      <c r="A31" t="inlineStr">
        <is>
          <t>مساهمة المطعم في تخفيض رسوم التوصيل (حسب السلة شاملة الضريبة)</t>
        </is>
      </c>
      <c r="B31" t="inlineStr">
        <is>
          <t>30–39.99: **7** · 40–49.99: **8** · 50–59.99: **9** · 60–79.99: **11** · +80: **13** ريال؛ إلزامية طوال العقد؛ معايير التخفيض (مسافة، قيمة السلة…) «بإرادة الطرف الأول المنفردة». **لا توجد شريحة لأقل من 30**</t>
        </is>
      </c>
      <c r="C31" t="inlineStr">
        <is>
          <t>ص5–ص6 — (د) رسوم التوصيل المخفضة + اللقطة المرفقة (مطابقة للعقد)</t>
        </is>
      </c>
    </row>
    <row r="32">
      <c r="A32" t="inlineStr">
        <is>
          <t>إضافة HPlus</t>
        </is>
      </c>
      <c r="B32" t="inlineStr">
        <is>
          <t>**+4 ريال/طلب** على المطعم لطلبات عملاء HPlus فقط (لا يدفع العميل رسوم توصيل)</t>
        </is>
      </c>
      <c r="C32" t="inlineStr">
        <is>
          <t>ص6 — (د)</t>
        </is>
      </c>
    </row>
    <row r="33">
      <c r="A33" t="inlineStr">
        <is>
          <t>ضريبة القيمة المضافة</t>
        </is>
      </c>
      <c r="B33" t="inlineStr">
        <is>
          <t>ذُكرت **فقط** في: «نطاق السلة بالقيمة الإجمالية شاملة الضريبة». لا نص عن ضريبة على العمولات أو أساس احتسابها. الرقم الضريبي للمطعم في ص1</t>
        </is>
      </c>
      <c r="C33" t="inlineStr">
        <is>
          <t>ص6 / ص1</t>
        </is>
      </c>
    </row>
    <row r="34">
      <c r="A34" t="inlineStr">
        <is>
          <t>رسوم تسويق/ترويج</t>
        </is>
      </c>
      <c r="B34" t="inlineStr">
        <is>
          <t>غير مذكورة في العقد (قد تكون في «الشروط والأحكام العامة» — الرابط غير مرفق)</t>
        </is>
      </c>
      <c r="C34" t="inlineStr">
        <is>
          <t>ص2 — ثانياً-2</t>
        </is>
      </c>
    </row>
    <row r="35">
      <c r="A35" t="inlineStr">
        <is>
          <t>رسوم ثابتة/متغيرة أخرى</t>
        </is>
      </c>
      <c r="B35" t="inlineStr">
        <is>
          <t>لا شيء آخر في العقد؛ الشروط العامة المحال إليها لم تُقدَّم → **فجوة معلومات**</t>
        </is>
      </c>
      <c r="C35" t="inlineStr">
        <is>
          <t>ص2</t>
        </is>
      </c>
    </row>
    <row r="36">
      <c r="A36" t="inlineStr">
        <is>
          <t>مدة العقد</t>
        </is>
      </c>
      <c r="B36" t="inlineStr">
        <is>
          <t>**سنة ميلادية** من تاريخ التوقيع</t>
        </is>
      </c>
      <c r="C36" t="inlineStr">
        <is>
          <t>ص2 — ثالثاً</t>
        </is>
      </c>
    </row>
    <row r="37">
      <c r="A37" t="inlineStr">
        <is>
          <t>التجديد</t>
        </is>
      </c>
      <c r="B37" t="inlineStr">
        <is>
          <t>تلقائي لمدد مماثلة ما لم يُخطر أحد الطرفين الآخر **30 يوماً** قبل الانتهاء؛ مراجعة سنوية</t>
        </is>
      </c>
      <c r="C37" t="inlineStr">
        <is>
          <t>ص2 — ثالثاً</t>
        </is>
      </c>
    </row>
    <row r="38">
      <c r="A38" t="inlineStr">
        <is>
          <t>الإنهاء</t>
        </is>
      </c>
      <c r="B38" t="inlineStr">
        <is>
          <t>للطرف الأول إنهاء مبكر بإشعار 30 يوماً (بريد مسجل/جوال). **لا يوجد حق إنهاء مبكر للمطعم** سوى عدم التجديد أو رفض تعديل</t>
        </is>
      </c>
      <c r="C38" t="inlineStr">
        <is>
          <t>ص2 — ثالثاً / ثانياً</t>
        </is>
      </c>
    </row>
    <row r="39">
      <c r="A39" t="inlineStr">
        <is>
          <t>حق تغيير الشروط التجارية</t>
        </is>
      </c>
      <c r="B39" t="inlineStr">
        <is>
          <t>تعديل أي وثيقة بالزيادة/النقص **بإشعار 14 يوماً**، وفوراً لأسباب نظامية/أمنية/تنظيمية؛ وفي رابعاً: إشعارات وتعديلات الشروط التجارية بالرسائل/البريد **نافذة بمجرد الإرسال** وملزمة</t>
        </is>
      </c>
      <c r="C39" t="inlineStr">
        <is>
          <t>ص2 (ثانياً) + ص3 (رابعاً)</t>
        </is>
      </c>
    </row>
    <row r="40">
      <c r="A40" t="inlineStr">
        <is>
          <t>بنود أخرى مؤثرة</t>
        </is>
      </c>
      <c r="B40" t="inlineStr">
        <is>
          <t>منع التنازل عن العقد دون موافقة؛ نزاع: ودي 30 يوماً ثم محاكم الرياض؛ المطعم مسؤول عن تحديث بيانات التواصل وأي إشعار على آخر وسيلة نافذ</t>
        </is>
      </c>
      <c r="C40" t="inlineStr">
        <is>
          <t>ص3 — رابعاً</t>
        </is>
      </c>
    </row>
    <row r="42">
      <c r="A42" s="6" t="inlineStr">
        <is>
          <t>2) تحليل كل صنف (56 صنفاً في الإكسل)</t>
        </is>
      </c>
    </row>
    <row r="43">
      <c r="A43" t="inlineStr">
        <is>
          <t>#</t>
        </is>
      </c>
      <c r="B43" t="inlineStr">
        <is>
          <t>الصنف</t>
        </is>
      </c>
      <c r="C43" t="inlineStr">
        <is>
          <t>سعر المطعم</t>
        </is>
      </c>
      <c r="D43" t="inlineStr">
        <is>
          <t>سعر HS</t>
        </is>
      </c>
      <c r="E43" t="inlineStr">
        <is>
          <t>الزيادة</t>
        </is>
      </c>
      <c r="F43" t="inlineStr">
        <is>
          <t>ضريبة مضمنة</t>
        </is>
      </c>
      <c r="G43" t="inlineStr">
        <is>
          <t>عمولة 21%</t>
        </is>
      </c>
      <c r="H43" t="inlineStr">
        <is>
          <t>دفع 2.5%</t>
        </is>
      </c>
      <c r="I43" t="inlineStr">
        <is>
          <t>توصيل</t>
        </is>
      </c>
      <c r="J43" t="inlineStr">
        <is>
          <t>إجمالي خصومات المنصة</t>
        </is>
      </c>
      <c r="K43" t="inlineStr">
        <is>
          <t>الصافي قبل التكلفة</t>
        </is>
      </c>
      <c r="L43" t="inlineStr">
        <is>
          <t>% من سعر المطعم</t>
        </is>
      </c>
      <c r="M43" t="inlineStr">
        <is>
          <t>% من سعر HS</t>
        </is>
      </c>
      <c r="N43" t="inlineStr">
        <is>
          <t>أقصى تكلفة طعام+تغليف</t>
        </is>
      </c>
      <c r="O43" t="inlineStr">
        <is>
          <t>صافي لو HPlus</t>
        </is>
      </c>
    </row>
    <row r="44">
      <c r="A44" t="n">
        <v>1</v>
      </c>
      <c r="B44" t="inlineStr">
        <is>
          <t>نفر حنيد بيتنا</t>
        </is>
      </c>
      <c r="C44" t="n">
        <v>105</v>
      </c>
      <c r="D44" t="n">
        <v>126</v>
      </c>
      <c r="E44" t="inlineStr">
        <is>
          <t>20%</t>
        </is>
      </c>
      <c r="F44" t="n">
        <v>16.43</v>
      </c>
      <c r="G44" t="n">
        <v>26.46</v>
      </c>
      <c r="H44" t="n">
        <v>3.15</v>
      </c>
      <c r="I44" t="n">
        <v>13</v>
      </c>
      <c r="J44" t="n">
        <v>42.61</v>
      </c>
      <c r="K44" t="n">
        <v>66.95999999999999</v>
      </c>
      <c r="L44" t="inlineStr">
        <is>
          <t>64%</t>
        </is>
      </c>
      <c r="M44" t="inlineStr">
        <is>
          <t>53%</t>
        </is>
      </c>
      <c r="N44" t="n">
        <v>66.95999999999999</v>
      </c>
      <c r="O44" t="n">
        <v>62.96</v>
      </c>
    </row>
    <row r="45">
      <c r="A45" t="n">
        <v>2</v>
      </c>
      <c r="B45" t="inlineStr">
        <is>
          <t>حنيذ جيزاني</t>
        </is>
      </c>
      <c r="C45" t="n">
        <v>100</v>
      </c>
      <c r="D45" t="n">
        <v>120</v>
      </c>
      <c r="E45" t="inlineStr">
        <is>
          <t>20%</t>
        </is>
      </c>
      <c r="F45" t="n">
        <v>15.65</v>
      </c>
      <c r="G45" t="n">
        <v>25.2</v>
      </c>
      <c r="H45" t="n">
        <v>3</v>
      </c>
      <c r="I45" t="n">
        <v>13</v>
      </c>
      <c r="J45" t="n">
        <v>41.2</v>
      </c>
      <c r="K45" t="n">
        <v>63.15</v>
      </c>
      <c r="L45" t="inlineStr">
        <is>
          <t>63%</t>
        </is>
      </c>
      <c r="M45" t="inlineStr">
        <is>
          <t>53%</t>
        </is>
      </c>
      <c r="N45" t="n">
        <v>63.15</v>
      </c>
      <c r="O45" t="n">
        <v>59.15</v>
      </c>
    </row>
    <row r="46">
      <c r="A46" t="n">
        <v>3</v>
      </c>
      <c r="B46" t="inlineStr">
        <is>
          <t>كبسة لحم</t>
        </is>
      </c>
      <c r="C46" t="n">
        <v>98</v>
      </c>
      <c r="D46" t="n">
        <v>117.6</v>
      </c>
      <c r="E46" t="inlineStr">
        <is>
          <t>20%</t>
        </is>
      </c>
      <c r="F46" t="n">
        <v>15.34</v>
      </c>
      <c r="G46" t="n">
        <v>24.7</v>
      </c>
      <c r="H46" t="n">
        <v>2.94</v>
      </c>
      <c r="I46" t="n">
        <v>13</v>
      </c>
      <c r="J46" t="n">
        <v>40.64</v>
      </c>
      <c r="K46" t="n">
        <v>61.62</v>
      </c>
      <c r="L46" t="inlineStr">
        <is>
          <t>63%</t>
        </is>
      </c>
      <c r="M46" t="inlineStr">
        <is>
          <t>52%</t>
        </is>
      </c>
      <c r="N46" t="n">
        <v>61.62</v>
      </c>
      <c r="O46" t="n">
        <v>57.62</v>
      </c>
    </row>
    <row r="47">
      <c r="A47" t="n">
        <v>4</v>
      </c>
      <c r="B47" t="inlineStr">
        <is>
          <t>برمة لحم مع الرز</t>
        </is>
      </c>
      <c r="C47" t="n">
        <v>48</v>
      </c>
      <c r="D47" t="n">
        <v>57.6</v>
      </c>
      <c r="E47" t="inlineStr">
        <is>
          <t>20%</t>
        </is>
      </c>
      <c r="F47" t="n">
        <v>7.51</v>
      </c>
      <c r="G47" t="n">
        <v>12.1</v>
      </c>
      <c r="H47" t="n">
        <v>1.44</v>
      </c>
      <c r="I47" t="n">
        <v>9</v>
      </c>
      <c r="J47" t="n">
        <v>22.54</v>
      </c>
      <c r="K47" t="n">
        <v>27.55</v>
      </c>
      <c r="L47" t="inlineStr">
        <is>
          <t>57%</t>
        </is>
      </c>
      <c r="M47" t="inlineStr">
        <is>
          <t>48%</t>
        </is>
      </c>
      <c r="N47" t="n">
        <v>27.55</v>
      </c>
      <c r="O47" t="n">
        <v>23.55</v>
      </c>
    </row>
    <row r="48">
      <c r="A48" t="n">
        <v>5</v>
      </c>
      <c r="B48" t="inlineStr">
        <is>
          <t>مغش لحم</t>
        </is>
      </c>
      <c r="C48" t="n">
        <v>59</v>
      </c>
      <c r="D48" t="n">
        <v>70.8</v>
      </c>
      <c r="E48" t="inlineStr">
        <is>
          <t>20%</t>
        </is>
      </c>
      <c r="F48" t="n">
        <v>9.23</v>
      </c>
      <c r="G48" t="n">
        <v>14.87</v>
      </c>
      <c r="H48" t="n">
        <v>1.77</v>
      </c>
      <c r="I48" t="n">
        <v>11</v>
      </c>
      <c r="J48" t="n">
        <v>27.64</v>
      </c>
      <c r="K48" t="n">
        <v>33.93</v>
      </c>
      <c r="L48" t="inlineStr">
        <is>
          <t>58%</t>
        </is>
      </c>
      <c r="M48" t="inlineStr">
        <is>
          <t>48%</t>
        </is>
      </c>
      <c r="N48" t="n">
        <v>33.93</v>
      </c>
      <c r="O48" t="n">
        <v>29.93</v>
      </c>
    </row>
    <row r="49">
      <c r="A49" t="n">
        <v>6</v>
      </c>
      <c r="B49" t="inlineStr">
        <is>
          <t>ربع شواية مع الرز</t>
        </is>
      </c>
      <c r="C49" t="n">
        <v>19</v>
      </c>
      <c r="D49" t="n">
        <v>22.8</v>
      </c>
      <c r="E49" t="inlineStr">
        <is>
          <t>20%</t>
        </is>
      </c>
      <c r="F49" t="n">
        <v>2.97</v>
      </c>
      <c r="G49" t="n">
        <v>4.79</v>
      </c>
      <c r="H49" t="n">
        <v>0.57</v>
      </c>
      <c r="I49" t="n">
        <v>7</v>
      </c>
      <c r="J49" t="n">
        <v>12.36</v>
      </c>
      <c r="K49" t="n">
        <v>7.47</v>
      </c>
      <c r="L49" t="inlineStr">
        <is>
          <t>39%</t>
        </is>
      </c>
      <c r="M49" t="inlineStr">
        <is>
          <t>33%</t>
        </is>
      </c>
      <c r="N49" t="n">
        <v>7.47</v>
      </c>
      <c r="O49" t="n">
        <v>3.47</v>
      </c>
    </row>
    <row r="50">
      <c r="A50" t="n">
        <v>7</v>
      </c>
      <c r="B50" t="inlineStr">
        <is>
          <t>نص شواية مع الرز</t>
        </is>
      </c>
      <c r="C50" t="n">
        <v>27</v>
      </c>
      <c r="D50" t="n">
        <v>32.4</v>
      </c>
      <c r="E50" t="inlineStr">
        <is>
          <t>20%</t>
        </is>
      </c>
      <c r="F50" t="n">
        <v>4.23</v>
      </c>
      <c r="G50" t="n">
        <v>6.8</v>
      </c>
      <c r="H50" t="n">
        <v>0.8100000000000001</v>
      </c>
      <c r="I50" t="n">
        <v>7</v>
      </c>
      <c r="J50" t="n">
        <v>14.61</v>
      </c>
      <c r="K50" t="n">
        <v>13.56</v>
      </c>
      <c r="L50" t="inlineStr">
        <is>
          <t>50%</t>
        </is>
      </c>
      <c r="M50" t="inlineStr">
        <is>
          <t>42%</t>
        </is>
      </c>
      <c r="N50" t="n">
        <v>13.56</v>
      </c>
      <c r="O50" t="n">
        <v>9.56</v>
      </c>
    </row>
    <row r="51">
      <c r="A51" t="n">
        <v>8</v>
      </c>
      <c r="B51" t="inlineStr">
        <is>
          <t>حبه شوايه مع الرز</t>
        </is>
      </c>
      <c r="C51" t="n">
        <v>55</v>
      </c>
      <c r="D51" t="n">
        <v>66</v>
      </c>
      <c r="E51" t="inlineStr">
        <is>
          <t>20%</t>
        </is>
      </c>
      <c r="F51" t="n">
        <v>8.609999999999999</v>
      </c>
      <c r="G51" t="n">
        <v>13.86</v>
      </c>
      <c r="H51" t="n">
        <v>1.65</v>
      </c>
      <c r="I51" t="n">
        <v>11</v>
      </c>
      <c r="J51" t="n">
        <v>26.51</v>
      </c>
      <c r="K51" t="n">
        <v>30.88</v>
      </c>
      <c r="L51" t="inlineStr">
        <is>
          <t>56%</t>
        </is>
      </c>
      <c r="M51" t="inlineStr">
        <is>
          <t>47%</t>
        </is>
      </c>
      <c r="N51" t="n">
        <v>30.88</v>
      </c>
      <c r="O51" t="n">
        <v>26.88</v>
      </c>
    </row>
    <row r="52">
      <c r="A52" t="n">
        <v>9</v>
      </c>
      <c r="B52" t="inlineStr">
        <is>
          <t>حبه مقلوبه مع الرز</t>
        </is>
      </c>
      <c r="C52" t="n">
        <v>55</v>
      </c>
      <c r="D52" t="n">
        <v>66</v>
      </c>
      <c r="E52" t="inlineStr">
        <is>
          <t>20%</t>
        </is>
      </c>
      <c r="F52" t="n">
        <v>8.609999999999999</v>
      </c>
      <c r="G52" t="n">
        <v>13.86</v>
      </c>
      <c r="H52" t="n">
        <v>1.65</v>
      </c>
      <c r="I52" t="n">
        <v>11</v>
      </c>
      <c r="J52" t="n">
        <v>26.51</v>
      </c>
      <c r="K52" t="n">
        <v>30.88</v>
      </c>
      <c r="L52" t="inlineStr">
        <is>
          <t>56%</t>
        </is>
      </c>
      <c r="M52" t="inlineStr">
        <is>
          <t>47%</t>
        </is>
      </c>
      <c r="N52" t="n">
        <v>30.88</v>
      </c>
      <c r="O52" t="n">
        <v>26.88</v>
      </c>
    </row>
    <row r="53">
      <c r="A53" t="n">
        <v>10</v>
      </c>
      <c r="B53" t="inlineStr">
        <is>
          <t>نص مضغوط</t>
        </is>
      </c>
      <c r="C53" t="n">
        <v>27</v>
      </c>
      <c r="D53" t="n">
        <v>32.4</v>
      </c>
      <c r="E53" t="inlineStr">
        <is>
          <t>20%</t>
        </is>
      </c>
      <c r="F53" t="n">
        <v>4.23</v>
      </c>
      <c r="G53" t="n">
        <v>6.8</v>
      </c>
      <c r="H53" t="n">
        <v>0.8100000000000001</v>
      </c>
      <c r="I53" t="n">
        <v>7</v>
      </c>
      <c r="J53" t="n">
        <v>14.61</v>
      </c>
      <c r="K53" t="n">
        <v>13.56</v>
      </c>
      <c r="L53" t="inlineStr">
        <is>
          <t>50%</t>
        </is>
      </c>
      <c r="M53" t="inlineStr">
        <is>
          <t>42%</t>
        </is>
      </c>
      <c r="N53" t="n">
        <v>13.56</v>
      </c>
      <c r="O53" t="n">
        <v>9.56</v>
      </c>
    </row>
    <row r="54">
      <c r="A54" t="n">
        <v>11</v>
      </c>
      <c r="B54" t="inlineStr">
        <is>
          <t>نص ميفى مع الرز</t>
        </is>
      </c>
      <c r="C54" t="n">
        <v>27</v>
      </c>
      <c r="D54" t="n">
        <v>32.4</v>
      </c>
      <c r="E54" t="inlineStr">
        <is>
          <t>20%</t>
        </is>
      </c>
      <c r="F54" t="n">
        <v>4.23</v>
      </c>
      <c r="G54" t="n">
        <v>6.8</v>
      </c>
      <c r="H54" t="n">
        <v>0.8100000000000001</v>
      </c>
      <c r="I54" t="n">
        <v>7</v>
      </c>
      <c r="J54" t="n">
        <v>14.61</v>
      </c>
      <c r="K54" t="n">
        <v>13.56</v>
      </c>
      <c r="L54" t="inlineStr">
        <is>
          <t>50%</t>
        </is>
      </c>
      <c r="M54" t="inlineStr">
        <is>
          <t>42%</t>
        </is>
      </c>
      <c r="N54" t="n">
        <v>13.56</v>
      </c>
      <c r="O54" t="n">
        <v>9.56</v>
      </c>
    </row>
    <row r="55">
      <c r="A55" t="n">
        <v>12</v>
      </c>
      <c r="B55" t="inlineStr">
        <is>
          <t>نص شواية سادة</t>
        </is>
      </c>
      <c r="C55" t="n">
        <v>20</v>
      </c>
      <c r="D55" t="n">
        <v>24</v>
      </c>
      <c r="E55" t="inlineStr">
        <is>
          <t>20%</t>
        </is>
      </c>
      <c r="F55" t="n">
        <v>3.13</v>
      </c>
      <c r="G55" t="n">
        <v>5.04</v>
      </c>
      <c r="H55" t="n">
        <v>0.6</v>
      </c>
      <c r="I55" t="n">
        <v>7</v>
      </c>
      <c r="J55" t="n">
        <v>12.64</v>
      </c>
      <c r="K55" t="n">
        <v>8.23</v>
      </c>
      <c r="L55" t="inlineStr">
        <is>
          <t>41%</t>
        </is>
      </c>
      <c r="M55" t="inlineStr">
        <is>
          <t>34%</t>
        </is>
      </c>
      <c r="N55" t="n">
        <v>8.23</v>
      </c>
      <c r="O55" t="n">
        <v>4.23</v>
      </c>
    </row>
    <row r="56">
      <c r="A56" t="n">
        <v>13</v>
      </c>
      <c r="B56" t="inlineStr">
        <is>
          <t>نص ميفى سادة</t>
        </is>
      </c>
      <c r="C56" t="n">
        <v>20</v>
      </c>
      <c r="D56" t="n">
        <v>24</v>
      </c>
      <c r="E56" t="inlineStr">
        <is>
          <t>20%</t>
        </is>
      </c>
      <c r="F56" t="n">
        <v>3.13</v>
      </c>
      <c r="G56" t="n">
        <v>5.04</v>
      </c>
      <c r="H56" t="n">
        <v>0.6</v>
      </c>
      <c r="I56" t="n">
        <v>7</v>
      </c>
      <c r="J56" t="n">
        <v>12.64</v>
      </c>
      <c r="K56" t="n">
        <v>8.23</v>
      </c>
      <c r="L56" t="inlineStr">
        <is>
          <t>41%</t>
        </is>
      </c>
      <c r="M56" t="inlineStr">
        <is>
          <t>34%</t>
        </is>
      </c>
      <c r="N56" t="n">
        <v>8.23</v>
      </c>
      <c r="O56" t="n">
        <v>4.23</v>
      </c>
    </row>
    <row r="57">
      <c r="A57" t="n">
        <v>14</v>
      </c>
      <c r="B57" t="inlineStr">
        <is>
          <t>حبة ميفى</t>
        </is>
      </c>
      <c r="C57" t="n">
        <v>55</v>
      </c>
      <c r="D57" t="n">
        <v>66</v>
      </c>
      <c r="E57" t="inlineStr">
        <is>
          <t>20%</t>
        </is>
      </c>
      <c r="F57" t="n">
        <v>8.609999999999999</v>
      </c>
      <c r="G57" t="n">
        <v>13.86</v>
      </c>
      <c r="H57" t="n">
        <v>1.65</v>
      </c>
      <c r="I57" t="n">
        <v>11</v>
      </c>
      <c r="J57" t="n">
        <v>26.51</v>
      </c>
      <c r="K57" t="n">
        <v>30.88</v>
      </c>
      <c r="L57" t="inlineStr">
        <is>
          <t>56%</t>
        </is>
      </c>
      <c r="M57" t="inlineStr">
        <is>
          <t>47%</t>
        </is>
      </c>
      <c r="N57" t="n">
        <v>30.88</v>
      </c>
      <c r="O57" t="n">
        <v>26.88</v>
      </c>
    </row>
    <row r="58">
      <c r="A58" t="n">
        <v>15</v>
      </c>
      <c r="B58" t="inlineStr">
        <is>
          <t>حبة مضغوط</t>
        </is>
      </c>
      <c r="C58" t="n">
        <v>55</v>
      </c>
      <c r="D58" t="n">
        <v>66</v>
      </c>
      <c r="E58" t="inlineStr">
        <is>
          <t>20%</t>
        </is>
      </c>
      <c r="F58" t="n">
        <v>8.609999999999999</v>
      </c>
      <c r="G58" t="n">
        <v>13.86</v>
      </c>
      <c r="H58" t="n">
        <v>1.65</v>
      </c>
      <c r="I58" t="n">
        <v>11</v>
      </c>
      <c r="J58" t="n">
        <v>26.51</v>
      </c>
      <c r="K58" t="n">
        <v>30.88</v>
      </c>
      <c r="L58" t="inlineStr">
        <is>
          <t>56%</t>
        </is>
      </c>
      <c r="M58" t="inlineStr">
        <is>
          <t>47%</t>
        </is>
      </c>
      <c r="N58" t="n">
        <v>30.88</v>
      </c>
      <c r="O58" t="n">
        <v>26.88</v>
      </c>
    </row>
    <row r="59">
      <c r="A59" t="n">
        <v>16</v>
      </c>
      <c r="B59" t="inlineStr">
        <is>
          <t>نص مقلوبه</t>
        </is>
      </c>
      <c r="C59" t="n">
        <v>27</v>
      </c>
      <c r="D59" t="n">
        <v>32.4</v>
      </c>
      <c r="E59" t="inlineStr">
        <is>
          <t>20%</t>
        </is>
      </c>
      <c r="F59" t="n">
        <v>4.23</v>
      </c>
      <c r="G59" t="n">
        <v>6.8</v>
      </c>
      <c r="H59" t="n">
        <v>0.8100000000000001</v>
      </c>
      <c r="I59" t="n">
        <v>7</v>
      </c>
      <c r="J59" t="n">
        <v>14.61</v>
      </c>
      <c r="K59" t="n">
        <v>13.56</v>
      </c>
      <c r="L59" t="inlineStr">
        <is>
          <t>50%</t>
        </is>
      </c>
      <c r="M59" t="inlineStr">
        <is>
          <t>42%</t>
        </is>
      </c>
      <c r="N59" t="n">
        <v>13.56</v>
      </c>
      <c r="O59" t="n">
        <v>9.56</v>
      </c>
    </row>
    <row r="60">
      <c r="A60" t="n">
        <v>17</v>
      </c>
      <c r="B60" t="inlineStr">
        <is>
          <t>لحوح مكشن</t>
        </is>
      </c>
      <c r="C60" t="n">
        <v>25</v>
      </c>
      <c r="D60" t="n">
        <v>30</v>
      </c>
      <c r="E60" t="inlineStr">
        <is>
          <t>20%</t>
        </is>
      </c>
      <c r="F60" t="n">
        <v>3.91</v>
      </c>
      <c r="G60" t="n">
        <v>6.3</v>
      </c>
      <c r="H60" t="n">
        <v>0.75</v>
      </c>
      <c r="I60" t="n">
        <v>7</v>
      </c>
      <c r="J60" t="n">
        <v>14.05</v>
      </c>
      <c r="K60" t="n">
        <v>12.04</v>
      </c>
      <c r="L60" t="inlineStr">
        <is>
          <t>48%</t>
        </is>
      </c>
      <c r="M60" t="inlineStr">
        <is>
          <t>40%</t>
        </is>
      </c>
      <c r="N60" t="n">
        <v>12.04</v>
      </c>
      <c r="O60" t="n">
        <v>8.039999999999999</v>
      </c>
    </row>
    <row r="61">
      <c r="A61" t="n">
        <v>18</v>
      </c>
      <c r="B61" t="inlineStr">
        <is>
          <t>مرقوق بيتنا لحم</t>
        </is>
      </c>
      <c r="C61" t="n">
        <v>65</v>
      </c>
      <c r="D61" t="n">
        <v>78</v>
      </c>
      <c r="E61" t="inlineStr">
        <is>
          <t>20%</t>
        </is>
      </c>
      <c r="F61" t="n">
        <v>10.17</v>
      </c>
      <c r="G61" t="n">
        <v>16.38</v>
      </c>
      <c r="H61" t="n">
        <v>1.95</v>
      </c>
      <c r="I61" t="n">
        <v>11</v>
      </c>
      <c r="J61" t="n">
        <v>29.33</v>
      </c>
      <c r="K61" t="n">
        <v>38.5</v>
      </c>
      <c r="L61" t="inlineStr">
        <is>
          <t>59%</t>
        </is>
      </c>
      <c r="M61" t="inlineStr">
        <is>
          <t>49%</t>
        </is>
      </c>
      <c r="N61" t="n">
        <v>38.5</v>
      </c>
      <c r="O61" t="n">
        <v>34.5</v>
      </c>
    </row>
    <row r="62">
      <c r="A62" t="n">
        <v>19</v>
      </c>
      <c r="B62" t="inlineStr">
        <is>
          <t>مرقوق بيتنا</t>
        </is>
      </c>
      <c r="C62" t="n">
        <v>35</v>
      </c>
      <c r="D62" t="n">
        <v>42</v>
      </c>
      <c r="E62" t="inlineStr">
        <is>
          <t>20%</t>
        </is>
      </c>
      <c r="F62" t="n">
        <v>5.48</v>
      </c>
      <c r="G62" t="n">
        <v>8.82</v>
      </c>
      <c r="H62" t="n">
        <v>1.05</v>
      </c>
      <c r="I62" t="n">
        <v>8</v>
      </c>
      <c r="J62" t="n">
        <v>17.87</v>
      </c>
      <c r="K62" t="n">
        <v>18.65</v>
      </c>
      <c r="L62" t="inlineStr">
        <is>
          <t>53%</t>
        </is>
      </c>
      <c r="M62" t="inlineStr">
        <is>
          <t>44%</t>
        </is>
      </c>
      <c r="N62" t="n">
        <v>18.65</v>
      </c>
      <c r="O62" t="n">
        <v>14.65</v>
      </c>
    </row>
    <row r="63">
      <c r="A63" t="n">
        <v>20</v>
      </c>
      <c r="B63" t="inlineStr">
        <is>
          <t>مرسه بلدي</t>
        </is>
      </c>
      <c r="C63" t="n">
        <v>33</v>
      </c>
      <c r="D63" t="n">
        <v>39.6</v>
      </c>
      <c r="E63" t="inlineStr">
        <is>
          <t>20%</t>
        </is>
      </c>
      <c r="F63" t="n">
        <v>5.17</v>
      </c>
      <c r="G63" t="n">
        <v>8.32</v>
      </c>
      <c r="H63" t="n">
        <v>0.99</v>
      </c>
      <c r="I63" t="n">
        <v>7</v>
      </c>
      <c r="J63" t="n">
        <v>16.31</v>
      </c>
      <c r="K63" t="n">
        <v>18.13</v>
      </c>
      <c r="L63" t="inlineStr">
        <is>
          <t>55%</t>
        </is>
      </c>
      <c r="M63" t="inlineStr">
        <is>
          <t>46%</t>
        </is>
      </c>
      <c r="N63" t="n">
        <v>18.13</v>
      </c>
      <c r="O63" t="n">
        <v>14.13</v>
      </c>
    </row>
    <row r="64">
      <c r="A64" t="n">
        <v>21</v>
      </c>
      <c r="B64" t="inlineStr">
        <is>
          <t>مرسه عادي</t>
        </is>
      </c>
      <c r="C64" t="n">
        <v>13</v>
      </c>
      <c r="D64" t="n">
        <v>15.6</v>
      </c>
      <c r="E64" t="inlineStr">
        <is>
          <t>20%</t>
        </is>
      </c>
      <c r="F64" t="n">
        <v>2.03</v>
      </c>
      <c r="G64" t="n">
        <v>3.28</v>
      </c>
      <c r="H64" t="n">
        <v>0.39</v>
      </c>
      <c r="I64" t="n">
        <v>7</v>
      </c>
      <c r="J64" t="n">
        <v>10.67</v>
      </c>
      <c r="K64" t="n">
        <v>2.9</v>
      </c>
      <c r="L64" t="inlineStr">
        <is>
          <t>22%</t>
        </is>
      </c>
      <c r="M64" t="inlineStr">
        <is>
          <t>19%</t>
        </is>
      </c>
      <c r="N64" t="n">
        <v>2.9</v>
      </c>
      <c r="O64" t="n">
        <v>-1.1</v>
      </c>
    </row>
    <row r="65">
      <c r="A65" t="n">
        <v>22</v>
      </c>
      <c r="B65" t="inlineStr">
        <is>
          <t>مرسة دخن</t>
        </is>
      </c>
      <c r="C65" t="n">
        <v>33</v>
      </c>
      <c r="D65" t="n">
        <v>39.6</v>
      </c>
      <c r="E65" t="inlineStr">
        <is>
          <t>20%</t>
        </is>
      </c>
      <c r="F65" t="n">
        <v>5.17</v>
      </c>
      <c r="G65" t="n">
        <v>8.32</v>
      </c>
      <c r="H65" t="n">
        <v>0.99</v>
      </c>
      <c r="I65" t="n">
        <v>7</v>
      </c>
      <c r="J65" t="n">
        <v>16.31</v>
      </c>
      <c r="K65" t="n">
        <v>18.13</v>
      </c>
      <c r="L65" t="inlineStr">
        <is>
          <t>55%</t>
        </is>
      </c>
      <c r="M65" t="inlineStr">
        <is>
          <t>46%</t>
        </is>
      </c>
      <c r="N65" t="n">
        <v>18.13</v>
      </c>
      <c r="O65" t="n">
        <v>14.13</v>
      </c>
    </row>
    <row r="66">
      <c r="A66" t="n">
        <v>23</v>
      </c>
      <c r="B66" t="inlineStr">
        <is>
          <t>فتة حديدي</t>
        </is>
      </c>
      <c r="C66" t="n">
        <v>13</v>
      </c>
      <c r="D66" t="n">
        <v>15.6</v>
      </c>
      <c r="E66" t="inlineStr">
        <is>
          <t>20%</t>
        </is>
      </c>
      <c r="F66" t="n">
        <v>2.03</v>
      </c>
      <c r="G66" t="n">
        <v>3.28</v>
      </c>
      <c r="H66" t="n">
        <v>0.39</v>
      </c>
      <c r="I66" t="n">
        <v>7</v>
      </c>
      <c r="J66" t="n">
        <v>10.67</v>
      </c>
      <c r="K66" t="n">
        <v>2.9</v>
      </c>
      <c r="L66" t="inlineStr">
        <is>
          <t>22%</t>
        </is>
      </c>
      <c r="M66" t="inlineStr">
        <is>
          <t>19%</t>
        </is>
      </c>
      <c r="N66" t="n">
        <v>2.9</v>
      </c>
      <c r="O66" t="n">
        <v>-1.1</v>
      </c>
    </row>
    <row r="67">
      <c r="A67" t="n">
        <v>24</v>
      </c>
      <c r="B67" t="inlineStr">
        <is>
          <t>شفوت</t>
        </is>
      </c>
      <c r="C67" t="n">
        <v>20</v>
      </c>
      <c r="D67" t="n">
        <v>24</v>
      </c>
      <c r="E67" t="inlineStr">
        <is>
          <t>20%</t>
        </is>
      </c>
      <c r="F67" t="n">
        <v>3.13</v>
      </c>
      <c r="G67" t="n">
        <v>5.04</v>
      </c>
      <c r="H67" t="n">
        <v>0.6</v>
      </c>
      <c r="I67" t="n">
        <v>7</v>
      </c>
      <c r="J67" t="n">
        <v>12.64</v>
      </c>
      <c r="K67" t="n">
        <v>8.23</v>
      </c>
      <c r="L67" t="inlineStr">
        <is>
          <t>41%</t>
        </is>
      </c>
      <c r="M67" t="inlineStr">
        <is>
          <t>34%</t>
        </is>
      </c>
      <c r="N67" t="n">
        <v>8.23</v>
      </c>
      <c r="O67" t="n">
        <v>4.23</v>
      </c>
    </row>
    <row r="68">
      <c r="A68" t="n">
        <v>25</v>
      </c>
      <c r="B68" t="inlineStr">
        <is>
          <t>ملوخية</t>
        </is>
      </c>
      <c r="C68" t="n">
        <v>10</v>
      </c>
      <c r="D68" t="n">
        <v>12</v>
      </c>
      <c r="E68" t="inlineStr">
        <is>
          <t>20%</t>
        </is>
      </c>
      <c r="F68" t="n">
        <v>1.57</v>
      </c>
      <c r="G68" t="n">
        <v>2.52</v>
      </c>
      <c r="H68" t="n">
        <v>0.3</v>
      </c>
      <c r="I68" t="n">
        <v>7</v>
      </c>
      <c r="J68" t="n">
        <v>9.82</v>
      </c>
      <c r="K68" t="n">
        <v>0.61</v>
      </c>
      <c r="L68" t="inlineStr">
        <is>
          <t>6%</t>
        </is>
      </c>
      <c r="M68" t="inlineStr">
        <is>
          <t>5%</t>
        </is>
      </c>
      <c r="N68" t="n">
        <v>0.61</v>
      </c>
      <c r="O68" t="n">
        <v>-3.39</v>
      </c>
    </row>
    <row r="69">
      <c r="A69" t="n">
        <v>26</v>
      </c>
      <c r="B69" t="inlineStr">
        <is>
          <t>مصقعه</t>
        </is>
      </c>
      <c r="C69" t="n">
        <v>10</v>
      </c>
      <c r="D69" t="n">
        <v>12</v>
      </c>
      <c r="E69" t="inlineStr">
        <is>
          <t>20%</t>
        </is>
      </c>
      <c r="F69" t="n">
        <v>1.57</v>
      </c>
      <c r="G69" t="n">
        <v>2.52</v>
      </c>
      <c r="H69" t="n">
        <v>0.3</v>
      </c>
      <c r="I69" t="n">
        <v>7</v>
      </c>
      <c r="J69" t="n">
        <v>9.82</v>
      </c>
      <c r="K69" t="n">
        <v>0.61</v>
      </c>
      <c r="L69" t="inlineStr">
        <is>
          <t>6%</t>
        </is>
      </c>
      <c r="M69" t="inlineStr">
        <is>
          <t>5%</t>
        </is>
      </c>
      <c r="N69" t="n">
        <v>0.61</v>
      </c>
      <c r="O69" t="n">
        <v>-3.39</v>
      </c>
    </row>
    <row r="70">
      <c r="A70" t="n">
        <v>27</v>
      </c>
      <c r="B70" t="inlineStr">
        <is>
          <t>مشكل ميفى</t>
        </is>
      </c>
      <c r="C70" t="n">
        <v>11</v>
      </c>
      <c r="D70" t="n">
        <v>13.2</v>
      </c>
      <c r="E70" t="inlineStr">
        <is>
          <t>20%</t>
        </is>
      </c>
      <c r="F70" t="n">
        <v>1.72</v>
      </c>
      <c r="G70" t="n">
        <v>2.77</v>
      </c>
      <c r="H70" t="n">
        <v>0.33</v>
      </c>
      <c r="I70" t="n">
        <v>7</v>
      </c>
      <c r="J70" t="n">
        <v>10.1</v>
      </c>
      <c r="K70" t="n">
        <v>1.38</v>
      </c>
      <c r="L70" t="inlineStr">
        <is>
          <t>13%</t>
        </is>
      </c>
      <c r="M70" t="inlineStr">
        <is>
          <t>10%</t>
        </is>
      </c>
      <c r="N70" t="n">
        <v>1.38</v>
      </c>
      <c r="O70" t="n">
        <v>-2.62</v>
      </c>
    </row>
    <row r="71">
      <c r="A71" t="n">
        <v>28</v>
      </c>
      <c r="B71" t="inlineStr">
        <is>
          <t>قوار</t>
        </is>
      </c>
      <c r="C71" t="n">
        <v>13</v>
      </c>
      <c r="D71" t="n">
        <v>15.6</v>
      </c>
      <c r="E71" t="inlineStr">
        <is>
          <t>20%</t>
        </is>
      </c>
      <c r="F71" t="n">
        <v>2.03</v>
      </c>
      <c r="G71" t="n">
        <v>3.28</v>
      </c>
      <c r="H71" t="n">
        <v>0.39</v>
      </c>
      <c r="I71" t="n">
        <v>7</v>
      </c>
      <c r="J71" t="n">
        <v>10.67</v>
      </c>
      <c r="K71" t="n">
        <v>2.9</v>
      </c>
      <c r="L71" t="inlineStr">
        <is>
          <t>22%</t>
        </is>
      </c>
      <c r="M71" t="inlineStr">
        <is>
          <t>19%</t>
        </is>
      </c>
      <c r="N71" t="n">
        <v>2.9</v>
      </c>
      <c r="O71" t="n">
        <v>-1.1</v>
      </c>
    </row>
    <row r="72">
      <c r="A72" t="n">
        <v>29</v>
      </c>
      <c r="B72" t="inlineStr">
        <is>
          <t>مكشن اندومي</t>
        </is>
      </c>
      <c r="C72" t="n">
        <v>22</v>
      </c>
      <c r="D72" t="n">
        <v>26.4</v>
      </c>
      <c r="E72" t="inlineStr">
        <is>
          <t>20%</t>
        </is>
      </c>
      <c r="F72" t="n">
        <v>3.44</v>
      </c>
      <c r="G72" t="n">
        <v>5.54</v>
      </c>
      <c r="H72" t="n">
        <v>0.66</v>
      </c>
      <c r="I72" t="n">
        <v>7</v>
      </c>
      <c r="J72" t="n">
        <v>13.2</v>
      </c>
      <c r="K72" t="n">
        <v>9.75</v>
      </c>
      <c r="L72" t="inlineStr">
        <is>
          <t>44%</t>
        </is>
      </c>
      <c r="M72" t="inlineStr">
        <is>
          <t>37%</t>
        </is>
      </c>
      <c r="N72" t="n">
        <v>9.75</v>
      </c>
      <c r="O72" t="n">
        <v>5.75</v>
      </c>
    </row>
    <row r="73">
      <c r="A73" t="n">
        <v>30</v>
      </c>
      <c r="B73" t="inlineStr">
        <is>
          <t>رز</t>
        </is>
      </c>
      <c r="C73" t="n">
        <v>10</v>
      </c>
      <c r="D73" t="n">
        <v>12</v>
      </c>
      <c r="E73" t="inlineStr">
        <is>
          <t>20%</t>
        </is>
      </c>
      <c r="F73" t="n">
        <v>1.57</v>
      </c>
      <c r="G73" t="n">
        <v>2.52</v>
      </c>
      <c r="H73" t="n">
        <v>0.3</v>
      </c>
      <c r="I73" t="n">
        <v>7</v>
      </c>
      <c r="J73" t="n">
        <v>9.82</v>
      </c>
      <c r="K73" t="n">
        <v>0.61</v>
      </c>
      <c r="L73" t="inlineStr">
        <is>
          <t>6%</t>
        </is>
      </c>
      <c r="M73" t="inlineStr">
        <is>
          <t>5%</t>
        </is>
      </c>
      <c r="N73" t="n">
        <v>0.61</v>
      </c>
      <c r="O73" t="n">
        <v>-3.39</v>
      </c>
    </row>
    <row r="74">
      <c r="A74" t="n">
        <v>31</v>
      </c>
      <c r="B74" t="inlineStr">
        <is>
          <t>مكشن سمك</t>
        </is>
      </c>
      <c r="C74" t="n">
        <v>58</v>
      </c>
      <c r="D74" t="n">
        <v>69.59999999999999</v>
      </c>
      <c r="E74" t="inlineStr">
        <is>
          <t>20%</t>
        </is>
      </c>
      <c r="F74" t="n">
        <v>9.08</v>
      </c>
      <c r="G74" t="n">
        <v>14.62</v>
      </c>
      <c r="H74" t="n">
        <v>1.74</v>
      </c>
      <c r="I74" t="n">
        <v>11</v>
      </c>
      <c r="J74" t="n">
        <v>27.36</v>
      </c>
      <c r="K74" t="n">
        <v>33.17</v>
      </c>
      <c r="L74" t="inlineStr">
        <is>
          <t>57%</t>
        </is>
      </c>
      <c r="M74" t="inlineStr">
        <is>
          <t>48%</t>
        </is>
      </c>
      <c r="N74" t="n">
        <v>33.17</v>
      </c>
      <c r="O74" t="n">
        <v>29.17</v>
      </c>
    </row>
    <row r="75">
      <c r="A75" t="n">
        <v>32</v>
      </c>
      <c r="B75" t="inlineStr">
        <is>
          <t>حسيه خمير</t>
        </is>
      </c>
      <c r="C75" t="n">
        <v>22</v>
      </c>
      <c r="D75" t="n">
        <v>26.4</v>
      </c>
      <c r="E75" t="inlineStr">
        <is>
          <t>20%</t>
        </is>
      </c>
      <c r="F75" t="n">
        <v>3.44</v>
      </c>
      <c r="G75" t="n">
        <v>5.54</v>
      </c>
      <c r="H75" t="n">
        <v>0.66</v>
      </c>
      <c r="I75" t="n">
        <v>7</v>
      </c>
      <c r="J75" t="n">
        <v>13.2</v>
      </c>
      <c r="K75" t="n">
        <v>9.75</v>
      </c>
      <c r="L75" t="inlineStr">
        <is>
          <t>44%</t>
        </is>
      </c>
      <c r="M75" t="inlineStr">
        <is>
          <t>37%</t>
        </is>
      </c>
      <c r="N75" t="n">
        <v>9.75</v>
      </c>
      <c r="O75" t="n">
        <v>5.75</v>
      </c>
    </row>
    <row r="76">
      <c r="A76" t="n">
        <v>33</v>
      </c>
      <c r="B76" t="inlineStr">
        <is>
          <t>حسيه لحم خمير</t>
        </is>
      </c>
      <c r="C76" t="n">
        <v>54</v>
      </c>
      <c r="D76" t="n">
        <v>64.8</v>
      </c>
      <c r="E76" t="inlineStr">
        <is>
          <t>20%</t>
        </is>
      </c>
      <c r="F76" t="n">
        <v>8.449999999999999</v>
      </c>
      <c r="G76" t="n">
        <v>13.61</v>
      </c>
      <c r="H76" t="n">
        <v>1.62</v>
      </c>
      <c r="I76" t="n">
        <v>11</v>
      </c>
      <c r="J76" t="n">
        <v>26.23</v>
      </c>
      <c r="K76" t="n">
        <v>30.12</v>
      </c>
      <c r="L76" t="inlineStr">
        <is>
          <t>56%</t>
        </is>
      </c>
      <c r="M76" t="inlineStr">
        <is>
          <t>46%</t>
        </is>
      </c>
      <c r="N76" t="n">
        <v>30.12</v>
      </c>
      <c r="O76" t="n">
        <v>26.12</v>
      </c>
    </row>
    <row r="77">
      <c r="A77" t="n">
        <v>34</v>
      </c>
      <c r="B77" t="inlineStr">
        <is>
          <t>حسيه فرق خمير</t>
        </is>
      </c>
      <c r="C77" t="n">
        <v>27</v>
      </c>
      <c r="D77" t="n">
        <v>32.4</v>
      </c>
      <c r="E77" t="inlineStr">
        <is>
          <t>20%</t>
        </is>
      </c>
      <c r="F77" t="n">
        <v>4.23</v>
      </c>
      <c r="G77" t="n">
        <v>6.8</v>
      </c>
      <c r="H77" t="n">
        <v>0.8100000000000001</v>
      </c>
      <c r="I77" t="n">
        <v>7</v>
      </c>
      <c r="J77" t="n">
        <v>14.61</v>
      </c>
      <c r="K77" t="n">
        <v>13.56</v>
      </c>
      <c r="L77" t="inlineStr">
        <is>
          <t>50%</t>
        </is>
      </c>
      <c r="M77" t="inlineStr">
        <is>
          <t>42%</t>
        </is>
      </c>
      <c r="N77" t="n">
        <v>13.56</v>
      </c>
      <c r="O77" t="n">
        <v>9.56</v>
      </c>
    </row>
    <row r="78">
      <c r="A78" t="n">
        <v>35</v>
      </c>
      <c r="B78" t="inlineStr">
        <is>
          <t>حسيه سمك</t>
        </is>
      </c>
      <c r="C78" t="n">
        <v>48</v>
      </c>
      <c r="D78" t="n">
        <v>57.6</v>
      </c>
      <c r="E78" t="inlineStr">
        <is>
          <t>20%</t>
        </is>
      </c>
      <c r="F78" t="n">
        <v>7.51</v>
      </c>
      <c r="G78" t="n">
        <v>12.1</v>
      </c>
      <c r="H78" t="n">
        <v>1.44</v>
      </c>
      <c r="I78" t="n">
        <v>9</v>
      </c>
      <c r="J78" t="n">
        <v>22.54</v>
      </c>
      <c r="K78" t="n">
        <v>27.55</v>
      </c>
      <c r="L78" t="inlineStr">
        <is>
          <t>57%</t>
        </is>
      </c>
      <c r="M78" t="inlineStr">
        <is>
          <t>48%</t>
        </is>
      </c>
      <c r="N78" t="n">
        <v>27.55</v>
      </c>
      <c r="O78" t="n">
        <v>23.55</v>
      </c>
    </row>
    <row r="79">
      <c r="A79" t="n">
        <v>36</v>
      </c>
      <c r="B79" t="inlineStr">
        <is>
          <t>حسيه لحوح لحم</t>
        </is>
      </c>
      <c r="C79" t="n">
        <v>48</v>
      </c>
      <c r="D79" t="n">
        <v>57.6</v>
      </c>
      <c r="E79" t="inlineStr">
        <is>
          <t>20%</t>
        </is>
      </c>
      <c r="F79" t="n">
        <v>7.51</v>
      </c>
      <c r="G79" t="n">
        <v>12.1</v>
      </c>
      <c r="H79" t="n">
        <v>1.44</v>
      </c>
      <c r="I79" t="n">
        <v>9</v>
      </c>
      <c r="J79" t="n">
        <v>22.54</v>
      </c>
      <c r="K79" t="n">
        <v>27.55</v>
      </c>
      <c r="L79" t="inlineStr">
        <is>
          <t>57%</t>
        </is>
      </c>
      <c r="M79" t="inlineStr">
        <is>
          <t>48%</t>
        </is>
      </c>
      <c r="N79" t="n">
        <v>27.55</v>
      </c>
      <c r="O79" t="n">
        <v>23.55</v>
      </c>
    </row>
    <row r="80">
      <c r="A80" t="n">
        <v>37</v>
      </c>
      <c r="B80" t="inlineStr">
        <is>
          <t>حسيه دقيق لحم</t>
        </is>
      </c>
      <c r="C80" t="n">
        <v>48</v>
      </c>
      <c r="D80" t="n">
        <v>57.6</v>
      </c>
      <c r="E80" t="inlineStr">
        <is>
          <t>20%</t>
        </is>
      </c>
      <c r="F80" t="n">
        <v>7.51</v>
      </c>
      <c r="G80" t="n">
        <v>12.1</v>
      </c>
      <c r="H80" t="n">
        <v>1.44</v>
      </c>
      <c r="I80" t="n">
        <v>9</v>
      </c>
      <c r="J80" t="n">
        <v>22.54</v>
      </c>
      <c r="K80" t="n">
        <v>27.55</v>
      </c>
      <c r="L80" t="inlineStr">
        <is>
          <t>57%</t>
        </is>
      </c>
      <c r="M80" t="inlineStr">
        <is>
          <t>48%</t>
        </is>
      </c>
      <c r="N80" t="n">
        <v>27.55</v>
      </c>
      <c r="O80" t="n">
        <v>23.55</v>
      </c>
    </row>
    <row r="81">
      <c r="A81" t="n">
        <v>38</v>
      </c>
      <c r="B81" t="inlineStr">
        <is>
          <t>حسيه بيتنا (عزبه)</t>
        </is>
      </c>
      <c r="C81" t="n">
        <v>62</v>
      </c>
      <c r="D81" t="n">
        <v>74.40000000000001</v>
      </c>
      <c r="E81" t="inlineStr">
        <is>
          <t>20%</t>
        </is>
      </c>
      <c r="F81" t="n">
        <v>9.699999999999999</v>
      </c>
      <c r="G81" t="n">
        <v>15.62</v>
      </c>
      <c r="H81" t="n">
        <v>1.86</v>
      </c>
      <c r="I81" t="n">
        <v>11</v>
      </c>
      <c r="J81" t="n">
        <v>28.48</v>
      </c>
      <c r="K81" t="n">
        <v>36.21</v>
      </c>
      <c r="L81" t="inlineStr">
        <is>
          <t>58%</t>
        </is>
      </c>
      <c r="M81" t="inlineStr">
        <is>
          <t>49%</t>
        </is>
      </c>
      <c r="N81" t="n">
        <v>36.21</v>
      </c>
      <c r="O81" t="n">
        <v>32.21</v>
      </c>
    </row>
    <row r="82">
      <c r="A82" t="n">
        <v>39</v>
      </c>
      <c r="B82" t="inlineStr">
        <is>
          <t>حيسية فرق لحوح</t>
        </is>
      </c>
      <c r="C82" t="n">
        <v>20</v>
      </c>
      <c r="D82" t="n">
        <v>24</v>
      </c>
      <c r="E82" t="inlineStr">
        <is>
          <t>20%</t>
        </is>
      </c>
      <c r="F82" t="n">
        <v>3.13</v>
      </c>
      <c r="G82" t="n">
        <v>5.04</v>
      </c>
      <c r="H82" t="n">
        <v>0.6</v>
      </c>
      <c r="I82" t="n">
        <v>7</v>
      </c>
      <c r="J82" t="n">
        <v>12.64</v>
      </c>
      <c r="K82" t="n">
        <v>8.23</v>
      </c>
      <c r="L82" t="inlineStr">
        <is>
          <t>41%</t>
        </is>
      </c>
      <c r="M82" t="inlineStr">
        <is>
          <t>34%</t>
        </is>
      </c>
      <c r="N82" t="n">
        <v>8.23</v>
      </c>
      <c r="O82" t="n">
        <v>4.23</v>
      </c>
    </row>
    <row r="83">
      <c r="A83" t="n">
        <v>40</v>
      </c>
      <c r="B83" t="inlineStr">
        <is>
          <t>مفالت</t>
        </is>
      </c>
      <c r="C83" t="n">
        <v>21</v>
      </c>
      <c r="D83" t="n">
        <v>25.2</v>
      </c>
      <c r="E83" t="inlineStr">
        <is>
          <t>20%</t>
        </is>
      </c>
      <c r="F83" t="n">
        <v>3.29</v>
      </c>
      <c r="G83" t="n">
        <v>5.29</v>
      </c>
      <c r="H83" t="n">
        <v>0.63</v>
      </c>
      <c r="I83" t="n">
        <v>7</v>
      </c>
      <c r="J83" t="n">
        <v>12.92</v>
      </c>
      <c r="K83" t="n">
        <v>8.99</v>
      </c>
      <c r="L83" t="inlineStr">
        <is>
          <t>43%</t>
        </is>
      </c>
      <c r="M83" t="inlineStr">
        <is>
          <t>36%</t>
        </is>
      </c>
      <c r="N83" t="n">
        <v>8.99</v>
      </c>
      <c r="O83" t="n">
        <v>4.99</v>
      </c>
    </row>
    <row r="84">
      <c r="A84" t="n">
        <v>41</v>
      </c>
      <c r="B84" t="inlineStr">
        <is>
          <t>لبة أمي</t>
        </is>
      </c>
      <c r="C84" t="n">
        <v>13</v>
      </c>
      <c r="D84" t="n">
        <v>15.6</v>
      </c>
      <c r="E84" t="inlineStr">
        <is>
          <t>20%</t>
        </is>
      </c>
      <c r="F84" t="n">
        <v>2.03</v>
      </c>
      <c r="G84" t="n">
        <v>3.28</v>
      </c>
      <c r="H84" t="n">
        <v>0.39</v>
      </c>
      <c r="I84" t="n">
        <v>7</v>
      </c>
      <c r="J84" t="n">
        <v>10.67</v>
      </c>
      <c r="K84" t="n">
        <v>2.9</v>
      </c>
      <c r="L84" t="inlineStr">
        <is>
          <t>22%</t>
        </is>
      </c>
      <c r="M84" t="inlineStr">
        <is>
          <t>19%</t>
        </is>
      </c>
      <c r="N84" t="n">
        <v>2.9</v>
      </c>
      <c r="O84" t="n">
        <v>-1.1</v>
      </c>
    </row>
    <row r="85">
      <c r="A85" t="n">
        <v>42</v>
      </c>
      <c r="B85" t="inlineStr">
        <is>
          <t>سلطه شرائح</t>
        </is>
      </c>
      <c r="C85" t="n">
        <v>10</v>
      </c>
      <c r="D85" t="n">
        <v>12</v>
      </c>
      <c r="E85" t="inlineStr">
        <is>
          <t>20%</t>
        </is>
      </c>
      <c r="F85" t="n">
        <v>1.57</v>
      </c>
      <c r="G85" t="n">
        <v>2.52</v>
      </c>
      <c r="H85" t="n">
        <v>0.3</v>
      </c>
      <c r="I85" t="n">
        <v>7</v>
      </c>
      <c r="J85" t="n">
        <v>9.82</v>
      </c>
      <c r="K85" t="n">
        <v>0.61</v>
      </c>
      <c r="L85" t="inlineStr">
        <is>
          <t>6%</t>
        </is>
      </c>
      <c r="M85" t="inlineStr">
        <is>
          <t>5%</t>
        </is>
      </c>
      <c r="N85" t="n">
        <v>0.61</v>
      </c>
      <c r="O85" t="n">
        <v>-3.39</v>
      </c>
    </row>
    <row r="86">
      <c r="A86" t="n">
        <v>43</v>
      </c>
      <c r="B86" t="inlineStr">
        <is>
          <t>سلطة خضراء</t>
        </is>
      </c>
      <c r="C86" t="n">
        <v>8</v>
      </c>
      <c r="D86" t="n">
        <v>9</v>
      </c>
      <c r="E86" t="inlineStr">
        <is>
          <t>12%</t>
        </is>
      </c>
      <c r="F86" t="n">
        <v>1.17</v>
      </c>
      <c r="G86" t="n">
        <v>1.89</v>
      </c>
      <c r="H86" t="n">
        <v>0.23</v>
      </c>
      <c r="I86" t="n">
        <v>7</v>
      </c>
      <c r="J86" t="n">
        <v>9.119999999999999</v>
      </c>
      <c r="K86" t="n">
        <v>-1.29</v>
      </c>
      <c r="L86" t="inlineStr">
        <is>
          <t>-16%</t>
        </is>
      </c>
      <c r="M86" t="inlineStr">
        <is>
          <t>-14%</t>
        </is>
      </c>
      <c r="N86" t="n">
        <v>-1.29</v>
      </c>
      <c r="O86" t="n">
        <v>-5.29</v>
      </c>
    </row>
    <row r="87">
      <c r="A87" t="n">
        <v>44</v>
      </c>
      <c r="B87" t="inlineStr">
        <is>
          <t>سلطة زبادي خيار</t>
        </is>
      </c>
      <c r="C87" t="n">
        <v>7</v>
      </c>
      <c r="D87" t="n">
        <v>8</v>
      </c>
      <c r="E87" t="inlineStr">
        <is>
          <t>14%</t>
        </is>
      </c>
      <c r="F87" t="n">
        <v>1.04</v>
      </c>
      <c r="G87" t="n">
        <v>1.68</v>
      </c>
      <c r="H87" t="n">
        <v>0.2</v>
      </c>
      <c r="I87" t="n">
        <v>7</v>
      </c>
      <c r="J87" t="n">
        <v>8.880000000000001</v>
      </c>
      <c r="K87" t="n">
        <v>-1.92</v>
      </c>
      <c r="L87" t="inlineStr">
        <is>
          <t>-27%</t>
        </is>
      </c>
      <c r="M87" t="inlineStr">
        <is>
          <t>-24%</t>
        </is>
      </c>
      <c r="N87" t="n">
        <v>-1.92</v>
      </c>
      <c r="O87" t="n">
        <v>-5.92</v>
      </c>
    </row>
    <row r="88">
      <c r="A88" t="n">
        <v>45</v>
      </c>
      <c r="B88" t="inlineStr">
        <is>
          <t>زبادي</t>
        </is>
      </c>
      <c r="C88" t="n">
        <v>3</v>
      </c>
      <c r="D88" t="n">
        <v>3.6</v>
      </c>
      <c r="E88" t="inlineStr">
        <is>
          <t>20%</t>
        </is>
      </c>
      <c r="F88" t="n">
        <v>0.47</v>
      </c>
      <c r="G88" t="n">
        <v>0.76</v>
      </c>
      <c r="H88" t="n">
        <v>0.09</v>
      </c>
      <c r="I88" t="n">
        <v>7</v>
      </c>
      <c r="J88" t="n">
        <v>7.85</v>
      </c>
      <c r="K88" t="n">
        <v>-4.72</v>
      </c>
      <c r="L88" t="inlineStr">
        <is>
          <t>-157%</t>
        </is>
      </c>
      <c r="M88" t="inlineStr">
        <is>
          <t>-131%</t>
        </is>
      </c>
      <c r="N88" t="n">
        <v>-4.72</v>
      </c>
      <c r="O88" t="n">
        <v>-8.720000000000001</v>
      </c>
    </row>
    <row r="89">
      <c r="A89" t="n">
        <v>46</v>
      </c>
      <c r="B89" t="inlineStr">
        <is>
          <t>بسباس</t>
        </is>
      </c>
      <c r="C89" t="n">
        <v>10</v>
      </c>
      <c r="D89" t="n">
        <v>12</v>
      </c>
      <c r="E89" t="inlineStr">
        <is>
          <t>20%</t>
        </is>
      </c>
      <c r="F89" t="n">
        <v>1.57</v>
      </c>
      <c r="G89" t="n">
        <v>2.52</v>
      </c>
      <c r="H89" t="n">
        <v>0.3</v>
      </c>
      <c r="I89" t="n">
        <v>7</v>
      </c>
      <c r="J89" t="n">
        <v>9.82</v>
      </c>
      <c r="K89" t="n">
        <v>0.61</v>
      </c>
      <c r="L89" t="inlineStr">
        <is>
          <t>6%</t>
        </is>
      </c>
      <c r="M89" t="inlineStr">
        <is>
          <t>5%</t>
        </is>
      </c>
      <c r="N89" t="n">
        <v>0.61</v>
      </c>
      <c r="O89" t="n">
        <v>-3.39</v>
      </c>
    </row>
    <row r="90">
      <c r="A90" t="n">
        <v>47</v>
      </c>
      <c r="B90" t="inlineStr">
        <is>
          <t>سحاوق</t>
        </is>
      </c>
      <c r="C90" t="n">
        <v>7</v>
      </c>
      <c r="D90" t="n">
        <v>8</v>
      </c>
      <c r="E90" t="inlineStr">
        <is>
          <t>14%</t>
        </is>
      </c>
      <c r="F90" t="n">
        <v>1.04</v>
      </c>
      <c r="G90" t="n">
        <v>1.68</v>
      </c>
      <c r="H90" t="n">
        <v>0.2</v>
      </c>
      <c r="I90" t="n">
        <v>7</v>
      </c>
      <c r="J90" t="n">
        <v>8.880000000000001</v>
      </c>
      <c r="K90" t="n">
        <v>-1.92</v>
      </c>
      <c r="L90" t="inlineStr">
        <is>
          <t>-27%</t>
        </is>
      </c>
      <c r="M90" t="inlineStr">
        <is>
          <t>-24%</t>
        </is>
      </c>
      <c r="N90" t="n">
        <v>-1.92</v>
      </c>
      <c r="O90" t="n">
        <v>-5.92</v>
      </c>
    </row>
    <row r="91">
      <c r="A91" t="n">
        <v>48</v>
      </c>
      <c r="B91" t="inlineStr">
        <is>
          <t>حبحب</t>
        </is>
      </c>
      <c r="C91" t="n">
        <v>7</v>
      </c>
      <c r="D91" t="n">
        <v>8</v>
      </c>
      <c r="E91" t="inlineStr">
        <is>
          <t>14%</t>
        </is>
      </c>
      <c r="F91" t="n">
        <v>1.04</v>
      </c>
      <c r="G91" t="n">
        <v>1.68</v>
      </c>
      <c r="H91" t="n">
        <v>0.2</v>
      </c>
      <c r="I91" t="n">
        <v>7</v>
      </c>
      <c r="J91" t="n">
        <v>8.880000000000001</v>
      </c>
      <c r="K91" t="n">
        <v>-1.92</v>
      </c>
      <c r="L91" t="inlineStr">
        <is>
          <t>-27%</t>
        </is>
      </c>
      <c r="M91" t="inlineStr">
        <is>
          <t>-24%</t>
        </is>
      </c>
      <c r="N91" t="n">
        <v>-1.92</v>
      </c>
      <c r="O91" t="n">
        <v>-5.92</v>
      </c>
    </row>
    <row r="92">
      <c r="A92" t="n">
        <v>49</v>
      </c>
      <c r="B92" t="inlineStr">
        <is>
          <t>زبادي مصلح</t>
        </is>
      </c>
      <c r="C92" t="n">
        <v>7</v>
      </c>
      <c r="D92" t="n">
        <v>8</v>
      </c>
      <c r="E92" t="inlineStr">
        <is>
          <t>14%</t>
        </is>
      </c>
      <c r="F92" t="n">
        <v>1.04</v>
      </c>
      <c r="G92" t="n">
        <v>1.68</v>
      </c>
      <c r="H92" t="n">
        <v>0.2</v>
      </c>
      <c r="I92" t="n">
        <v>7</v>
      </c>
      <c r="J92" t="n">
        <v>8.880000000000001</v>
      </c>
      <c r="K92" t="n">
        <v>-1.92</v>
      </c>
      <c r="L92" t="inlineStr">
        <is>
          <t>-27%</t>
        </is>
      </c>
      <c r="M92" t="inlineStr">
        <is>
          <t>-24%</t>
        </is>
      </c>
      <c r="N92" t="n">
        <v>-1.92</v>
      </c>
      <c r="O92" t="n">
        <v>-5.92</v>
      </c>
    </row>
    <row r="93">
      <c r="A93" t="n">
        <v>50</v>
      </c>
      <c r="B93" t="inlineStr">
        <is>
          <t>دقيق</t>
        </is>
      </c>
      <c r="C93" t="n">
        <v>7</v>
      </c>
      <c r="D93" t="n">
        <v>8</v>
      </c>
      <c r="E93" t="inlineStr">
        <is>
          <t>14%</t>
        </is>
      </c>
      <c r="F93" t="n">
        <v>1.04</v>
      </c>
      <c r="G93" t="n">
        <v>1.68</v>
      </c>
      <c r="H93" t="n">
        <v>0.2</v>
      </c>
      <c r="I93" t="n">
        <v>7</v>
      </c>
      <c r="J93" t="n">
        <v>8.880000000000001</v>
      </c>
      <c r="K93" t="n">
        <v>-1.92</v>
      </c>
      <c r="L93" t="inlineStr">
        <is>
          <t>-27%</t>
        </is>
      </c>
      <c r="M93" t="inlineStr">
        <is>
          <t>-24%</t>
        </is>
      </c>
      <c r="N93" t="n">
        <v>-1.92</v>
      </c>
      <c r="O93" t="n">
        <v>-5.92</v>
      </c>
    </row>
    <row r="94">
      <c r="A94" t="n">
        <v>51</v>
      </c>
      <c r="B94" t="inlineStr">
        <is>
          <t>خمير</t>
        </is>
      </c>
      <c r="C94" t="n">
        <v>7</v>
      </c>
      <c r="D94" t="n">
        <v>8</v>
      </c>
      <c r="E94" t="inlineStr">
        <is>
          <t>14%</t>
        </is>
      </c>
      <c r="F94" t="n">
        <v>1.04</v>
      </c>
      <c r="G94" t="n">
        <v>1.68</v>
      </c>
      <c r="H94" t="n">
        <v>0.2</v>
      </c>
      <c r="I94" t="n">
        <v>7</v>
      </c>
      <c r="J94" t="n">
        <v>8.880000000000001</v>
      </c>
      <c r="K94" t="n">
        <v>-1.92</v>
      </c>
      <c r="L94" t="inlineStr">
        <is>
          <t>-27%</t>
        </is>
      </c>
      <c r="M94" t="inlineStr">
        <is>
          <t>-24%</t>
        </is>
      </c>
      <c r="N94" t="n">
        <v>-1.92</v>
      </c>
      <c r="O94" t="n">
        <v>-5.92</v>
      </c>
    </row>
    <row r="95">
      <c r="A95" t="n">
        <v>52</v>
      </c>
      <c r="B95" t="inlineStr">
        <is>
          <t>بيبسي</t>
        </is>
      </c>
      <c r="C95" t="n">
        <v>4</v>
      </c>
      <c r="D95" t="n">
        <v>4</v>
      </c>
      <c r="E95" t="inlineStr">
        <is>
          <t>0%</t>
        </is>
      </c>
      <c r="F95" t="n">
        <v>0.52</v>
      </c>
      <c r="G95" t="n">
        <v>0.84</v>
      </c>
      <c r="H95" t="n">
        <v>0.1</v>
      </c>
      <c r="I95" t="n">
        <v>7</v>
      </c>
      <c r="J95" t="n">
        <v>7.94</v>
      </c>
      <c r="K95" t="n">
        <v>-4.46</v>
      </c>
      <c r="L95" t="inlineStr">
        <is>
          <t>-112%</t>
        </is>
      </c>
      <c r="M95" t="inlineStr">
        <is>
          <t>-112%</t>
        </is>
      </c>
      <c r="N95" t="n">
        <v>-4.46</v>
      </c>
      <c r="O95" t="n">
        <v>-8.460000000000001</v>
      </c>
    </row>
    <row r="96">
      <c r="A96" t="n">
        <v>53</v>
      </c>
      <c r="B96" t="inlineStr">
        <is>
          <t>حمضيات ⚠</t>
        </is>
      </c>
      <c r="C96" t="n">
        <v>2.5</v>
      </c>
      <c r="D96" t="n">
        <v>4</v>
      </c>
      <c r="E96" t="inlineStr">
        <is>
          <t>60%</t>
        </is>
      </c>
      <c r="F96" t="n">
        <v>0.52</v>
      </c>
      <c r="G96" t="n">
        <v>0.84</v>
      </c>
      <c r="H96" t="n">
        <v>0.1</v>
      </c>
      <c r="I96" t="n">
        <v>7</v>
      </c>
      <c r="J96" t="n">
        <v>7.94</v>
      </c>
      <c r="K96" t="n">
        <v>-4.46</v>
      </c>
      <c r="L96" t="inlineStr">
        <is>
          <t>-178%</t>
        </is>
      </c>
      <c r="M96" t="inlineStr">
        <is>
          <t>-112%</t>
        </is>
      </c>
      <c r="N96" t="n">
        <v>-4.46</v>
      </c>
      <c r="O96" t="n">
        <v>-8.460000000000001</v>
      </c>
    </row>
    <row r="97">
      <c r="A97" t="n">
        <v>54</v>
      </c>
      <c r="B97" t="inlineStr">
        <is>
          <t>سفن اب ⚠</t>
        </is>
      </c>
      <c r="C97" t="n">
        <v>2.5</v>
      </c>
      <c r="D97" t="n">
        <v>4</v>
      </c>
      <c r="E97" t="inlineStr">
        <is>
          <t>60%</t>
        </is>
      </c>
      <c r="F97" t="n">
        <v>0.52</v>
      </c>
      <c r="G97" t="n">
        <v>0.84</v>
      </c>
      <c r="H97" t="n">
        <v>0.1</v>
      </c>
      <c r="I97" t="n">
        <v>7</v>
      </c>
      <c r="J97" t="n">
        <v>7.94</v>
      </c>
      <c r="K97" t="n">
        <v>-4.46</v>
      </c>
      <c r="L97" t="inlineStr">
        <is>
          <t>-178%</t>
        </is>
      </c>
      <c r="M97" t="inlineStr">
        <is>
          <t>-112%</t>
        </is>
      </c>
      <c r="N97" t="n">
        <v>-4.46</v>
      </c>
      <c r="O97" t="n">
        <v>-8.460000000000001</v>
      </c>
    </row>
    <row r="98">
      <c r="A98" t="n">
        <v>55</v>
      </c>
      <c r="B98" t="inlineStr">
        <is>
          <t>لبن المراعى</t>
        </is>
      </c>
      <c r="C98" t="n">
        <v>3</v>
      </c>
      <c r="D98" t="n">
        <v>3</v>
      </c>
      <c r="E98" t="inlineStr">
        <is>
          <t>0%</t>
        </is>
      </c>
      <c r="F98" t="n">
        <v>0.39</v>
      </c>
      <c r="G98" t="n">
        <v>0.63</v>
      </c>
      <c r="H98" t="n">
        <v>0.08</v>
      </c>
      <c r="I98" t="n">
        <v>7</v>
      </c>
      <c r="J98" t="n">
        <v>7.71</v>
      </c>
      <c r="K98" t="n">
        <v>-5.1</v>
      </c>
      <c r="L98" t="inlineStr">
        <is>
          <t>-170%</t>
        </is>
      </c>
      <c r="M98" t="inlineStr">
        <is>
          <t>-170%</t>
        </is>
      </c>
      <c r="N98" t="n">
        <v>-5.1</v>
      </c>
      <c r="O98" t="n">
        <v>-9.1</v>
      </c>
    </row>
    <row r="99">
      <c r="A99" t="n">
        <v>56</v>
      </c>
      <c r="B99" t="inlineStr">
        <is>
          <t>ماء</t>
        </is>
      </c>
      <c r="C99" t="n">
        <v>2</v>
      </c>
      <c r="D99" t="n">
        <v>2</v>
      </c>
      <c r="E99" t="inlineStr">
        <is>
          <t>0%</t>
        </is>
      </c>
      <c r="F99" t="n">
        <v>0.26</v>
      </c>
      <c r="G99" t="n">
        <v>0.42</v>
      </c>
      <c r="H99" t="n">
        <v>0.05</v>
      </c>
      <c r="I99" t="n">
        <v>7</v>
      </c>
      <c r="J99" t="n">
        <v>7.47</v>
      </c>
      <c r="K99" t="n">
        <v>-5.73</v>
      </c>
      <c r="L99" t="inlineStr">
        <is>
          <t>-287%</t>
        </is>
      </c>
      <c r="M99" t="inlineStr">
        <is>
          <t>-287%</t>
        </is>
      </c>
      <c r="N99" t="n">
        <v>-5.73</v>
      </c>
      <c r="O99" t="n">
        <v>-9.73</v>
      </c>
    </row>
    <row r="101">
      <c r="A101" s="6" t="inlineStr">
        <is>
          <t>2-ب) الاستلام (Pickup) ومقارنة بالمنيو المطبوع</t>
        </is>
      </c>
    </row>
    <row r="102">
      <c r="A102" t="inlineStr">
        <is>
          <t>#</t>
        </is>
      </c>
      <c r="B102" t="inlineStr">
        <is>
          <t>الصنف</t>
        </is>
      </c>
      <c r="C102" t="inlineStr">
        <is>
          <t>سعر HS</t>
        </is>
      </c>
      <c r="D102" t="inlineStr">
        <is>
          <t>خصم العميل 20%</t>
        </is>
      </c>
      <c r="E102" t="inlineStr">
        <is>
          <t>حصة المطعم من الخصم</t>
        </is>
      </c>
      <c r="F102" t="inlineStr">
        <is>
          <t>عمولة 21%</t>
        </is>
      </c>
      <c r="G102" t="inlineStr">
        <is>
          <t>دفع 2.5%</t>
        </is>
      </c>
      <c r="H102" t="inlineStr">
        <is>
          <t>صافي الاستلام</t>
        </is>
      </c>
      <c r="I102" t="inlineStr">
        <is>
          <t>% من البيع المباشر (بدون ضريبة)</t>
        </is>
      </c>
      <c r="J102" t="inlineStr">
        <is>
          <t>سعر المنيو المطبوع</t>
        </is>
      </c>
      <c r="K102" t="inlineStr">
        <is>
          <t>D ÷ المنيو</t>
        </is>
      </c>
      <c r="L102" t="inlineStr">
        <is>
          <t>F ÷ المنيو</t>
        </is>
      </c>
    </row>
    <row r="103">
      <c r="A103" t="n">
        <v>1</v>
      </c>
      <c r="B103" t="inlineStr">
        <is>
          <t>نفر حنيد بيتنا</t>
        </is>
      </c>
      <c r="C103" t="n">
        <v>126</v>
      </c>
      <c r="D103" t="n">
        <v>25.2</v>
      </c>
      <c r="E103" t="n">
        <v>2.5</v>
      </c>
      <c r="F103" t="n">
        <v>26.46</v>
      </c>
      <c r="G103" t="n">
        <v>3.15</v>
      </c>
      <c r="H103" t="n">
        <v>77.45999999999999</v>
      </c>
      <c r="I103" t="inlineStr">
        <is>
          <t>85%</t>
        </is>
      </c>
      <c r="J103" t="n">
        <v>80</v>
      </c>
      <c r="K103" t="inlineStr">
        <is>
          <t>31%</t>
        </is>
      </c>
      <c r="L103" t="inlineStr">
        <is>
          <t>57%</t>
        </is>
      </c>
    </row>
    <row r="104">
      <c r="A104" t="n">
        <v>2</v>
      </c>
      <c r="B104" t="inlineStr">
        <is>
          <t>حنيذ جيزاني</t>
        </is>
      </c>
      <c r="C104" t="n">
        <v>120</v>
      </c>
      <c r="D104" t="n">
        <v>24</v>
      </c>
      <c r="E104" t="n">
        <v>2.5</v>
      </c>
      <c r="F104" t="n">
        <v>25.2</v>
      </c>
      <c r="G104" t="n">
        <v>3</v>
      </c>
      <c r="H104" t="n">
        <v>73.65000000000001</v>
      </c>
      <c r="I104" t="inlineStr">
        <is>
          <t>85%</t>
        </is>
      </c>
      <c r="J104" t="n">
        <v>77</v>
      </c>
      <c r="K104" t="inlineStr">
        <is>
          <t>30%</t>
        </is>
      </c>
      <c r="L104" t="inlineStr">
        <is>
          <t>56%</t>
        </is>
      </c>
    </row>
    <row r="105">
      <c r="A105" t="n">
        <v>3</v>
      </c>
      <c r="B105" t="inlineStr">
        <is>
          <t>كبسة لحم</t>
        </is>
      </c>
      <c r="C105" t="n">
        <v>117.6</v>
      </c>
      <c r="D105" t="n">
        <v>23.52</v>
      </c>
      <c r="E105" t="n">
        <v>2.5</v>
      </c>
      <c r="F105" t="n">
        <v>24.7</v>
      </c>
      <c r="G105" t="n">
        <v>2.94</v>
      </c>
      <c r="H105" t="n">
        <v>72.12</v>
      </c>
      <c r="I105" t="inlineStr">
        <is>
          <t>85%</t>
        </is>
      </c>
      <c r="J105" t="n">
        <v>75</v>
      </c>
      <c r="K105" t="inlineStr">
        <is>
          <t>31%</t>
        </is>
      </c>
      <c r="L105" t="inlineStr">
        <is>
          <t>57%</t>
        </is>
      </c>
    </row>
    <row r="106">
      <c r="A106" t="n">
        <v>4</v>
      </c>
      <c r="B106" t="inlineStr">
        <is>
          <t>برمة لحم مع الرز</t>
        </is>
      </c>
      <c r="C106" t="n">
        <v>57.6</v>
      </c>
      <c r="D106" t="n">
        <v>11.52</v>
      </c>
      <c r="E106" t="n">
        <v>2.5</v>
      </c>
      <c r="F106" t="n">
        <v>12.1</v>
      </c>
      <c r="G106" t="n">
        <v>1.44</v>
      </c>
      <c r="H106" t="n">
        <v>34.05</v>
      </c>
      <c r="I106" t="inlineStr">
        <is>
          <t>82%</t>
        </is>
      </c>
      <c r="J106" t="n">
        <v>36</v>
      </c>
      <c r="K106" t="inlineStr">
        <is>
          <t>33%</t>
        </is>
      </c>
      <c r="L106" t="inlineStr">
        <is>
          <t>60%</t>
        </is>
      </c>
    </row>
    <row r="107">
      <c r="A107" t="n">
        <v>5</v>
      </c>
      <c r="B107" t="inlineStr">
        <is>
          <t>مغش لحم</t>
        </is>
      </c>
      <c r="C107" t="n">
        <v>70.8</v>
      </c>
      <c r="D107" t="n">
        <v>14.16</v>
      </c>
      <c r="E107" t="n">
        <v>2.5</v>
      </c>
      <c r="F107" t="n">
        <v>14.87</v>
      </c>
      <c r="G107" t="n">
        <v>1.77</v>
      </c>
      <c r="H107" t="n">
        <v>42.43</v>
      </c>
      <c r="I107" t="inlineStr">
        <is>
          <t>83%</t>
        </is>
      </c>
      <c r="J107" t="n">
        <v>45</v>
      </c>
      <c r="K107" t="inlineStr">
        <is>
          <t>31%</t>
        </is>
      </c>
      <c r="L107" t="inlineStr">
        <is>
          <t>57%</t>
        </is>
      </c>
    </row>
    <row r="108">
      <c r="A108" t="n">
        <v>6</v>
      </c>
      <c r="B108" t="inlineStr">
        <is>
          <t>ربع شواية مع الرز</t>
        </is>
      </c>
      <c r="C108" t="n">
        <v>22.8</v>
      </c>
      <c r="D108" t="n">
        <v>4.56</v>
      </c>
      <c r="E108" t="n">
        <v>2.5</v>
      </c>
      <c r="F108" t="n">
        <v>4.79</v>
      </c>
      <c r="G108" t="n">
        <v>0.57</v>
      </c>
      <c r="H108" t="n">
        <v>11.97</v>
      </c>
      <c r="I108" t="inlineStr">
        <is>
          <t>72%</t>
        </is>
      </c>
      <c r="J108" t="n">
        <v>14</v>
      </c>
      <c r="K108" t="inlineStr">
        <is>
          <t>36%</t>
        </is>
      </c>
      <c r="L108" t="inlineStr">
        <is>
          <t>63%</t>
        </is>
      </c>
    </row>
    <row r="109">
      <c r="A109" t="n">
        <v>7</v>
      </c>
      <c r="B109" t="inlineStr">
        <is>
          <t>نص شواية مع الرز</t>
        </is>
      </c>
      <c r="C109" t="n">
        <v>32.4</v>
      </c>
      <c r="D109" t="n">
        <v>6.48</v>
      </c>
      <c r="E109" t="n">
        <v>2.5</v>
      </c>
      <c r="F109" t="n">
        <v>6.8</v>
      </c>
      <c r="G109" t="n">
        <v>0.8100000000000001</v>
      </c>
      <c r="H109" t="n">
        <v>18.06</v>
      </c>
      <c r="I109" t="inlineStr">
        <is>
          <t>77%</t>
        </is>
      </c>
      <c r="J109" t="n">
        <v>21</v>
      </c>
      <c r="K109" t="inlineStr">
        <is>
          <t>29%</t>
        </is>
      </c>
      <c r="L109" t="inlineStr">
        <is>
          <t>54%</t>
        </is>
      </c>
    </row>
    <row r="110">
      <c r="A110" t="n">
        <v>8</v>
      </c>
      <c r="B110" t="inlineStr">
        <is>
          <t>حبه شوايه مع الرز</t>
        </is>
      </c>
      <c r="C110" t="n">
        <v>66</v>
      </c>
      <c r="D110" t="n">
        <v>13.2</v>
      </c>
      <c r="E110" t="n">
        <v>2.5</v>
      </c>
      <c r="F110" t="n">
        <v>13.86</v>
      </c>
      <c r="G110" t="n">
        <v>1.65</v>
      </c>
      <c r="H110" t="n">
        <v>39.38</v>
      </c>
      <c r="I110" t="inlineStr">
        <is>
          <t>82%</t>
        </is>
      </c>
      <c r="J110" t="n">
        <v>42</v>
      </c>
      <c r="K110" t="inlineStr">
        <is>
          <t>31%</t>
        </is>
      </c>
      <c r="L110" t="inlineStr">
        <is>
          <t>57%</t>
        </is>
      </c>
    </row>
    <row r="111">
      <c r="A111" t="n">
        <v>9</v>
      </c>
      <c r="B111" t="inlineStr">
        <is>
          <t>حبه مقلوبه مع الرز</t>
        </is>
      </c>
      <c r="C111" t="n">
        <v>66</v>
      </c>
      <c r="D111" t="n">
        <v>13.2</v>
      </c>
      <c r="E111" t="n">
        <v>2.5</v>
      </c>
      <c r="F111" t="n">
        <v>13.86</v>
      </c>
      <c r="G111" t="n">
        <v>1.65</v>
      </c>
      <c r="H111" t="n">
        <v>39.38</v>
      </c>
      <c r="I111" t="inlineStr">
        <is>
          <t>82%</t>
        </is>
      </c>
      <c r="J111" t="inlineStr">
        <is>
          <t>—</t>
        </is>
      </c>
      <c r="K111" t="inlineStr">
        <is>
          <t>—</t>
        </is>
      </c>
      <c r="L111" t="inlineStr">
        <is>
          <t>—</t>
        </is>
      </c>
    </row>
    <row r="112">
      <c r="A112" t="n">
        <v>10</v>
      </c>
      <c r="B112" t="inlineStr">
        <is>
          <t>نص مضغوط</t>
        </is>
      </c>
      <c r="C112" t="n">
        <v>32.4</v>
      </c>
      <c r="D112" t="n">
        <v>6.48</v>
      </c>
      <c r="E112" t="n">
        <v>2.5</v>
      </c>
      <c r="F112" t="n">
        <v>6.8</v>
      </c>
      <c r="G112" t="n">
        <v>0.8100000000000001</v>
      </c>
      <c r="H112" t="n">
        <v>18.06</v>
      </c>
      <c r="I112" t="inlineStr">
        <is>
          <t>77%</t>
        </is>
      </c>
      <c r="J112" t="n">
        <v>21</v>
      </c>
      <c r="K112" t="inlineStr">
        <is>
          <t>29%</t>
        </is>
      </c>
      <c r="L112" t="inlineStr">
        <is>
          <t>54%</t>
        </is>
      </c>
    </row>
    <row r="113">
      <c r="A113" t="n">
        <v>11</v>
      </c>
      <c r="B113" t="inlineStr">
        <is>
          <t>نص ميفى مع الرز</t>
        </is>
      </c>
      <c r="C113" t="n">
        <v>32.4</v>
      </c>
      <c r="D113" t="n">
        <v>6.48</v>
      </c>
      <c r="E113" t="n">
        <v>2.5</v>
      </c>
      <c r="F113" t="n">
        <v>6.8</v>
      </c>
      <c r="G113" t="n">
        <v>0.8100000000000001</v>
      </c>
      <c r="H113" t="n">
        <v>18.06</v>
      </c>
      <c r="I113" t="inlineStr">
        <is>
          <t>77%</t>
        </is>
      </c>
      <c r="J113" t="n">
        <v>21</v>
      </c>
      <c r="K113" t="inlineStr">
        <is>
          <t>29%</t>
        </is>
      </c>
      <c r="L113" t="inlineStr">
        <is>
          <t>54%</t>
        </is>
      </c>
    </row>
    <row r="114">
      <c r="A114" t="n">
        <v>12</v>
      </c>
      <c r="B114" t="inlineStr">
        <is>
          <t>نص شواية سادة</t>
        </is>
      </c>
      <c r="C114" t="n">
        <v>24</v>
      </c>
      <c r="D114" t="n">
        <v>4.8</v>
      </c>
      <c r="E114" t="n">
        <v>2.5</v>
      </c>
      <c r="F114" t="n">
        <v>5.04</v>
      </c>
      <c r="G114" t="n">
        <v>0.6</v>
      </c>
      <c r="H114" t="n">
        <v>12.73</v>
      </c>
      <c r="I114" t="inlineStr">
        <is>
          <t>73%</t>
        </is>
      </c>
      <c r="J114" t="n">
        <v>15</v>
      </c>
      <c r="K114" t="inlineStr">
        <is>
          <t>33%</t>
        </is>
      </c>
      <c r="L114" t="inlineStr">
        <is>
          <t>60%</t>
        </is>
      </c>
    </row>
    <row r="115">
      <c r="A115" t="n">
        <v>13</v>
      </c>
      <c r="B115" t="inlineStr">
        <is>
          <t>نص ميفى سادة</t>
        </is>
      </c>
      <c r="C115" t="n">
        <v>24</v>
      </c>
      <c r="D115" t="n">
        <v>4.8</v>
      </c>
      <c r="E115" t="n">
        <v>2.5</v>
      </c>
      <c r="F115" t="n">
        <v>5.04</v>
      </c>
      <c r="G115" t="n">
        <v>0.6</v>
      </c>
      <c r="H115" t="n">
        <v>12.73</v>
      </c>
      <c r="I115" t="inlineStr">
        <is>
          <t>73%</t>
        </is>
      </c>
      <c r="J115" t="n">
        <v>15</v>
      </c>
      <c r="K115" t="inlineStr">
        <is>
          <t>33%</t>
        </is>
      </c>
      <c r="L115" t="inlineStr">
        <is>
          <t>60%</t>
        </is>
      </c>
    </row>
    <row r="116">
      <c r="A116" t="n">
        <v>14</v>
      </c>
      <c r="B116" t="inlineStr">
        <is>
          <t>حبة ميفى</t>
        </is>
      </c>
      <c r="C116" t="n">
        <v>66</v>
      </c>
      <c r="D116" t="n">
        <v>13.2</v>
      </c>
      <c r="E116" t="n">
        <v>2.5</v>
      </c>
      <c r="F116" t="n">
        <v>13.86</v>
      </c>
      <c r="G116" t="n">
        <v>1.65</v>
      </c>
      <c r="H116" t="n">
        <v>39.38</v>
      </c>
      <c r="I116" t="inlineStr">
        <is>
          <t>82%</t>
        </is>
      </c>
      <c r="J116" t="n">
        <v>42</v>
      </c>
      <c r="K116" t="inlineStr">
        <is>
          <t>31%</t>
        </is>
      </c>
      <c r="L116" t="inlineStr">
        <is>
          <t>57%</t>
        </is>
      </c>
    </row>
    <row r="117">
      <c r="A117" t="n">
        <v>15</v>
      </c>
      <c r="B117" t="inlineStr">
        <is>
          <t>حبة مضغوط</t>
        </is>
      </c>
      <c r="C117" t="n">
        <v>66</v>
      </c>
      <c r="D117" t="n">
        <v>13.2</v>
      </c>
      <c r="E117" t="n">
        <v>2.5</v>
      </c>
      <c r="F117" t="n">
        <v>13.86</v>
      </c>
      <c r="G117" t="n">
        <v>1.65</v>
      </c>
      <c r="H117" t="n">
        <v>39.38</v>
      </c>
      <c r="I117" t="inlineStr">
        <is>
          <t>82%</t>
        </is>
      </c>
      <c r="J117" t="n">
        <v>42</v>
      </c>
      <c r="K117" t="inlineStr">
        <is>
          <t>31%</t>
        </is>
      </c>
      <c r="L117" t="inlineStr">
        <is>
          <t>57%</t>
        </is>
      </c>
    </row>
    <row r="118">
      <c r="A118" t="n">
        <v>16</v>
      </c>
      <c r="B118" t="inlineStr">
        <is>
          <t>نص مقلوبه</t>
        </is>
      </c>
      <c r="C118" t="n">
        <v>32.4</v>
      </c>
      <c r="D118" t="n">
        <v>6.48</v>
      </c>
      <c r="E118" t="n">
        <v>2.5</v>
      </c>
      <c r="F118" t="n">
        <v>6.8</v>
      </c>
      <c r="G118" t="n">
        <v>0.8100000000000001</v>
      </c>
      <c r="H118" t="n">
        <v>18.06</v>
      </c>
      <c r="I118" t="inlineStr">
        <is>
          <t>77%</t>
        </is>
      </c>
      <c r="J118" t="n">
        <v>21</v>
      </c>
      <c r="K118" t="inlineStr">
        <is>
          <t>29%</t>
        </is>
      </c>
      <c r="L118" t="inlineStr">
        <is>
          <t>54%</t>
        </is>
      </c>
    </row>
    <row r="119">
      <c r="A119" t="n">
        <v>17</v>
      </c>
      <c r="B119" t="inlineStr">
        <is>
          <t>لحوح مكشن</t>
        </is>
      </c>
      <c r="C119" t="n">
        <v>30</v>
      </c>
      <c r="D119" t="n">
        <v>6</v>
      </c>
      <c r="E119" t="n">
        <v>2.5</v>
      </c>
      <c r="F119" t="n">
        <v>6.3</v>
      </c>
      <c r="G119" t="n">
        <v>0.75</v>
      </c>
      <c r="H119" t="n">
        <v>16.54</v>
      </c>
      <c r="I119" t="inlineStr">
        <is>
          <t>76%</t>
        </is>
      </c>
      <c r="J119" t="n">
        <v>18</v>
      </c>
      <c r="K119" t="inlineStr">
        <is>
          <t>39%</t>
        </is>
      </c>
      <c r="L119" t="inlineStr">
        <is>
          <t>67%</t>
        </is>
      </c>
    </row>
    <row r="120">
      <c r="A120" t="n">
        <v>18</v>
      </c>
      <c r="B120" t="inlineStr">
        <is>
          <t>مرقوق بيتنا لحم</t>
        </is>
      </c>
      <c r="C120" t="n">
        <v>78</v>
      </c>
      <c r="D120" t="n">
        <v>15.6</v>
      </c>
      <c r="E120" t="n">
        <v>2.5</v>
      </c>
      <c r="F120" t="n">
        <v>16.38</v>
      </c>
      <c r="G120" t="n">
        <v>1.95</v>
      </c>
      <c r="H120" t="n">
        <v>47</v>
      </c>
      <c r="I120" t="inlineStr">
        <is>
          <t>83%</t>
        </is>
      </c>
      <c r="J120" t="n">
        <v>50</v>
      </c>
      <c r="K120" t="inlineStr">
        <is>
          <t>30%</t>
        </is>
      </c>
      <c r="L120" t="inlineStr">
        <is>
          <t>56%</t>
        </is>
      </c>
    </row>
    <row r="121">
      <c r="A121" t="n">
        <v>19</v>
      </c>
      <c r="B121" t="inlineStr">
        <is>
          <t>مرقوق بيتنا</t>
        </is>
      </c>
      <c r="C121" t="n">
        <v>42</v>
      </c>
      <c r="D121" t="n">
        <v>8.4</v>
      </c>
      <c r="E121" t="n">
        <v>2.5</v>
      </c>
      <c r="F121" t="n">
        <v>8.82</v>
      </c>
      <c r="G121" t="n">
        <v>1.05</v>
      </c>
      <c r="H121" t="n">
        <v>24.15</v>
      </c>
      <c r="I121" t="inlineStr">
        <is>
          <t>79%</t>
        </is>
      </c>
      <c r="J121" t="n">
        <v>27</v>
      </c>
      <c r="K121" t="inlineStr">
        <is>
          <t>30%</t>
        </is>
      </c>
      <c r="L121" t="inlineStr">
        <is>
          <t>56%</t>
        </is>
      </c>
    </row>
    <row r="122">
      <c r="A122" t="n">
        <v>20</v>
      </c>
      <c r="B122" t="inlineStr">
        <is>
          <t>مرسه بلدي</t>
        </is>
      </c>
      <c r="C122" t="n">
        <v>39.6</v>
      </c>
      <c r="D122" t="n">
        <v>7.92</v>
      </c>
      <c r="E122" t="n">
        <v>2.5</v>
      </c>
      <c r="F122" t="n">
        <v>8.32</v>
      </c>
      <c r="G122" t="n">
        <v>0.99</v>
      </c>
      <c r="H122" t="n">
        <v>22.63</v>
      </c>
      <c r="I122" t="inlineStr">
        <is>
          <t>79%</t>
        </is>
      </c>
      <c r="J122" t="n">
        <v>25</v>
      </c>
      <c r="K122" t="inlineStr">
        <is>
          <t>32%</t>
        </is>
      </c>
      <c r="L122" t="inlineStr">
        <is>
          <t>58%</t>
        </is>
      </c>
    </row>
    <row r="123">
      <c r="A123" t="n">
        <v>21</v>
      </c>
      <c r="B123" t="inlineStr">
        <is>
          <t>مرسه عادي</t>
        </is>
      </c>
      <c r="C123" t="n">
        <v>15.6</v>
      </c>
      <c r="D123" t="n">
        <v>3.12</v>
      </c>
      <c r="E123" t="n">
        <v>2.5</v>
      </c>
      <c r="F123" t="n">
        <v>3.28</v>
      </c>
      <c r="G123" t="n">
        <v>0.39</v>
      </c>
      <c r="H123" t="n">
        <v>7.4</v>
      </c>
      <c r="I123" t="inlineStr">
        <is>
          <t>65%</t>
        </is>
      </c>
      <c r="J123" t="n">
        <v>10</v>
      </c>
      <c r="K123" t="inlineStr">
        <is>
          <t>30%</t>
        </is>
      </c>
      <c r="L123" t="inlineStr">
        <is>
          <t>56%</t>
        </is>
      </c>
    </row>
    <row r="124">
      <c r="A124" t="n">
        <v>22</v>
      </c>
      <c r="B124" t="inlineStr">
        <is>
          <t>مرسة دخن</t>
        </is>
      </c>
      <c r="C124" t="n">
        <v>39.6</v>
      </c>
      <c r="D124" t="n">
        <v>7.92</v>
      </c>
      <c r="E124" t="n">
        <v>2.5</v>
      </c>
      <c r="F124" t="n">
        <v>8.32</v>
      </c>
      <c r="G124" t="n">
        <v>0.99</v>
      </c>
      <c r="H124" t="n">
        <v>22.63</v>
      </c>
      <c r="I124" t="inlineStr">
        <is>
          <t>79%</t>
        </is>
      </c>
      <c r="J124" t="inlineStr">
        <is>
          <t>—</t>
        </is>
      </c>
      <c r="K124" t="inlineStr">
        <is>
          <t>—</t>
        </is>
      </c>
      <c r="L124" t="inlineStr">
        <is>
          <t>—</t>
        </is>
      </c>
    </row>
    <row r="125">
      <c r="A125" t="n">
        <v>23</v>
      </c>
      <c r="B125" t="inlineStr">
        <is>
          <t>فتة حديدي</t>
        </is>
      </c>
      <c r="C125" t="n">
        <v>15.6</v>
      </c>
      <c r="D125" t="n">
        <v>3.12</v>
      </c>
      <c r="E125" t="n">
        <v>2.5</v>
      </c>
      <c r="F125" t="n">
        <v>3.28</v>
      </c>
      <c r="G125" t="n">
        <v>0.39</v>
      </c>
      <c r="H125" t="n">
        <v>7.4</v>
      </c>
      <c r="I125" t="inlineStr">
        <is>
          <t>65%</t>
        </is>
      </c>
      <c r="J125" t="n">
        <v>10</v>
      </c>
      <c r="K125" t="inlineStr">
        <is>
          <t>30%</t>
        </is>
      </c>
      <c r="L125" t="inlineStr">
        <is>
          <t>56%</t>
        </is>
      </c>
    </row>
    <row r="126">
      <c r="A126" t="n">
        <v>24</v>
      </c>
      <c r="B126" t="inlineStr">
        <is>
          <t>شفوت</t>
        </is>
      </c>
      <c r="C126" t="n">
        <v>24</v>
      </c>
      <c r="D126" t="n">
        <v>4.8</v>
      </c>
      <c r="E126" t="n">
        <v>2.5</v>
      </c>
      <c r="F126" t="n">
        <v>5.04</v>
      </c>
      <c r="G126" t="n">
        <v>0.6</v>
      </c>
      <c r="H126" t="n">
        <v>12.73</v>
      </c>
      <c r="I126" t="inlineStr">
        <is>
          <t>73%</t>
        </is>
      </c>
      <c r="J126" t="n">
        <v>15</v>
      </c>
      <c r="K126" t="inlineStr">
        <is>
          <t>33%</t>
        </is>
      </c>
      <c r="L126" t="inlineStr">
        <is>
          <t>60%</t>
        </is>
      </c>
    </row>
    <row r="127">
      <c r="A127" t="n">
        <v>25</v>
      </c>
      <c r="B127" t="inlineStr">
        <is>
          <t>ملوخية</t>
        </is>
      </c>
      <c r="C127" t="n">
        <v>12</v>
      </c>
      <c r="D127" t="n">
        <v>2.4</v>
      </c>
      <c r="E127" t="n">
        <v>2.4</v>
      </c>
      <c r="F127" t="n">
        <v>2.52</v>
      </c>
      <c r="G127" t="n">
        <v>0.3</v>
      </c>
      <c r="H127" t="n">
        <v>5.21</v>
      </c>
      <c r="I127" t="inlineStr">
        <is>
          <t>60%</t>
        </is>
      </c>
      <c r="J127" t="n">
        <v>7</v>
      </c>
      <c r="K127" t="inlineStr">
        <is>
          <t>43%</t>
        </is>
      </c>
      <c r="L127" t="inlineStr">
        <is>
          <t>71%</t>
        </is>
      </c>
    </row>
    <row r="128">
      <c r="A128" t="n">
        <v>26</v>
      </c>
      <c r="B128" t="inlineStr">
        <is>
          <t>مصقعه</t>
        </is>
      </c>
      <c r="C128" t="n">
        <v>12</v>
      </c>
      <c r="D128" t="n">
        <v>2.4</v>
      </c>
      <c r="E128" t="n">
        <v>2.4</v>
      </c>
      <c r="F128" t="n">
        <v>2.52</v>
      </c>
      <c r="G128" t="n">
        <v>0.3</v>
      </c>
      <c r="H128" t="n">
        <v>5.21</v>
      </c>
      <c r="I128" t="inlineStr">
        <is>
          <t>60%</t>
        </is>
      </c>
      <c r="J128" t="n">
        <v>7</v>
      </c>
      <c r="K128" t="inlineStr">
        <is>
          <t>43%</t>
        </is>
      </c>
      <c r="L128" t="inlineStr">
        <is>
          <t>71%</t>
        </is>
      </c>
    </row>
    <row r="129">
      <c r="A129" t="n">
        <v>27</v>
      </c>
      <c r="B129" t="inlineStr">
        <is>
          <t>مشكل ميفى</t>
        </is>
      </c>
      <c r="C129" t="n">
        <v>13.2</v>
      </c>
      <c r="D129" t="n">
        <v>2.64</v>
      </c>
      <c r="E129" t="n">
        <v>2.5</v>
      </c>
      <c r="F129" t="n">
        <v>2.77</v>
      </c>
      <c r="G129" t="n">
        <v>0.33</v>
      </c>
      <c r="H129" t="n">
        <v>5.88</v>
      </c>
      <c r="I129" t="inlineStr">
        <is>
          <t>61%</t>
        </is>
      </c>
      <c r="J129" t="n">
        <v>8</v>
      </c>
      <c r="K129" t="inlineStr">
        <is>
          <t>38%</t>
        </is>
      </c>
      <c r="L129" t="inlineStr">
        <is>
          <t>65%</t>
        </is>
      </c>
    </row>
    <row r="130">
      <c r="A130" t="n">
        <v>28</v>
      </c>
      <c r="B130" t="inlineStr">
        <is>
          <t>قوار</t>
        </is>
      </c>
      <c r="C130" t="n">
        <v>15.6</v>
      </c>
      <c r="D130" t="n">
        <v>3.12</v>
      </c>
      <c r="E130" t="n">
        <v>2.5</v>
      </c>
      <c r="F130" t="n">
        <v>3.28</v>
      </c>
      <c r="G130" t="n">
        <v>0.39</v>
      </c>
      <c r="H130" t="n">
        <v>7.4</v>
      </c>
      <c r="I130" t="inlineStr">
        <is>
          <t>65%</t>
        </is>
      </c>
      <c r="J130" t="n">
        <v>10</v>
      </c>
      <c r="K130" t="inlineStr">
        <is>
          <t>30%</t>
        </is>
      </c>
      <c r="L130" t="inlineStr">
        <is>
          <t>56%</t>
        </is>
      </c>
    </row>
    <row r="131">
      <c r="A131" t="n">
        <v>29</v>
      </c>
      <c r="B131" t="inlineStr">
        <is>
          <t>مكشن اندومي</t>
        </is>
      </c>
      <c r="C131" t="n">
        <v>26.4</v>
      </c>
      <c r="D131" t="n">
        <v>5.28</v>
      </c>
      <c r="E131" t="n">
        <v>2.5</v>
      </c>
      <c r="F131" t="n">
        <v>5.54</v>
      </c>
      <c r="G131" t="n">
        <v>0.66</v>
      </c>
      <c r="H131" t="n">
        <v>14.25</v>
      </c>
      <c r="I131" t="inlineStr">
        <is>
          <t>75%</t>
        </is>
      </c>
      <c r="J131" t="n">
        <v>17</v>
      </c>
      <c r="K131" t="inlineStr">
        <is>
          <t>29%</t>
        </is>
      </c>
      <c r="L131" t="inlineStr">
        <is>
          <t>55%</t>
        </is>
      </c>
    </row>
    <row r="132">
      <c r="A132" t="n">
        <v>30</v>
      </c>
      <c r="B132" t="inlineStr">
        <is>
          <t>رز</t>
        </is>
      </c>
      <c r="C132" t="n">
        <v>12</v>
      </c>
      <c r="D132" t="n">
        <v>2.4</v>
      </c>
      <c r="E132" t="n">
        <v>2.4</v>
      </c>
      <c r="F132" t="n">
        <v>2.52</v>
      </c>
      <c r="G132" t="n">
        <v>0.3</v>
      </c>
      <c r="H132" t="n">
        <v>5.21</v>
      </c>
      <c r="I132" t="inlineStr">
        <is>
          <t>60%</t>
        </is>
      </c>
      <c r="J132" t="n">
        <v>8</v>
      </c>
      <c r="K132" t="inlineStr">
        <is>
          <t>25%</t>
        </is>
      </c>
      <c r="L132" t="inlineStr">
        <is>
          <t>50%</t>
        </is>
      </c>
    </row>
    <row r="133">
      <c r="A133" t="n">
        <v>31</v>
      </c>
      <c r="B133" t="inlineStr">
        <is>
          <t>مكشن سمك</t>
        </is>
      </c>
      <c r="C133" t="n">
        <v>69.59999999999999</v>
      </c>
      <c r="D133" t="n">
        <v>13.92</v>
      </c>
      <c r="E133" t="n">
        <v>2.5</v>
      </c>
      <c r="F133" t="n">
        <v>14.62</v>
      </c>
      <c r="G133" t="n">
        <v>1.74</v>
      </c>
      <c r="H133" t="n">
        <v>41.67</v>
      </c>
      <c r="I133" t="inlineStr">
        <is>
          <t>83%</t>
        </is>
      </c>
      <c r="J133" t="n">
        <v>45</v>
      </c>
      <c r="K133" t="inlineStr">
        <is>
          <t>29%</t>
        </is>
      </c>
      <c r="L133" t="inlineStr">
        <is>
          <t>55%</t>
        </is>
      </c>
    </row>
    <row r="134">
      <c r="A134" t="n">
        <v>32</v>
      </c>
      <c r="B134" t="inlineStr">
        <is>
          <t>حسيه خمير</t>
        </is>
      </c>
      <c r="C134" t="n">
        <v>26.4</v>
      </c>
      <c r="D134" t="n">
        <v>5.28</v>
      </c>
      <c r="E134" t="n">
        <v>2.5</v>
      </c>
      <c r="F134" t="n">
        <v>5.54</v>
      </c>
      <c r="G134" t="n">
        <v>0.66</v>
      </c>
      <c r="H134" t="n">
        <v>14.25</v>
      </c>
      <c r="I134" t="inlineStr">
        <is>
          <t>75%</t>
        </is>
      </c>
      <c r="J134" t="n">
        <v>17</v>
      </c>
      <c r="K134" t="inlineStr">
        <is>
          <t>29%</t>
        </is>
      </c>
      <c r="L134" t="inlineStr">
        <is>
          <t>55%</t>
        </is>
      </c>
    </row>
    <row r="135">
      <c r="A135" t="n">
        <v>33</v>
      </c>
      <c r="B135" t="inlineStr">
        <is>
          <t>حسيه لحم خمير</t>
        </is>
      </c>
      <c r="C135" t="n">
        <v>64.8</v>
      </c>
      <c r="D135" t="n">
        <v>12.96</v>
      </c>
      <c r="E135" t="n">
        <v>2.5</v>
      </c>
      <c r="F135" t="n">
        <v>13.61</v>
      </c>
      <c r="G135" t="n">
        <v>1.62</v>
      </c>
      <c r="H135" t="n">
        <v>38.62</v>
      </c>
      <c r="I135" t="inlineStr">
        <is>
          <t>82%</t>
        </is>
      </c>
      <c r="J135" t="n">
        <v>40</v>
      </c>
      <c r="K135" t="inlineStr">
        <is>
          <t>35%</t>
        </is>
      </c>
      <c r="L135" t="inlineStr">
        <is>
          <t>62%</t>
        </is>
      </c>
    </row>
    <row r="136">
      <c r="A136" t="n">
        <v>34</v>
      </c>
      <c r="B136" t="inlineStr">
        <is>
          <t>حسيه فرق خمير</t>
        </is>
      </c>
      <c r="C136" t="n">
        <v>32.4</v>
      </c>
      <c r="D136" t="n">
        <v>6.48</v>
      </c>
      <c r="E136" t="n">
        <v>2.5</v>
      </c>
      <c r="F136" t="n">
        <v>6.8</v>
      </c>
      <c r="G136" t="n">
        <v>0.8100000000000001</v>
      </c>
      <c r="H136" t="n">
        <v>18.06</v>
      </c>
      <c r="I136" t="inlineStr">
        <is>
          <t>77%</t>
        </is>
      </c>
      <c r="J136" t="n">
        <v>20</v>
      </c>
      <c r="K136" t="inlineStr">
        <is>
          <t>35%</t>
        </is>
      </c>
      <c r="L136" t="inlineStr">
        <is>
          <t>62%</t>
        </is>
      </c>
    </row>
    <row r="137">
      <c r="A137" t="n">
        <v>35</v>
      </c>
      <c r="B137" t="inlineStr">
        <is>
          <t>حسيه سمك</t>
        </is>
      </c>
      <c r="C137" t="n">
        <v>57.6</v>
      </c>
      <c r="D137" t="n">
        <v>11.52</v>
      </c>
      <c r="E137" t="n">
        <v>2.5</v>
      </c>
      <c r="F137" t="n">
        <v>12.1</v>
      </c>
      <c r="G137" t="n">
        <v>1.44</v>
      </c>
      <c r="H137" t="n">
        <v>34.05</v>
      </c>
      <c r="I137" t="inlineStr">
        <is>
          <t>82%</t>
        </is>
      </c>
      <c r="J137" t="n">
        <v>35</v>
      </c>
      <c r="K137" t="inlineStr">
        <is>
          <t>37%</t>
        </is>
      </c>
      <c r="L137" t="inlineStr">
        <is>
          <t>65%</t>
        </is>
      </c>
    </row>
    <row r="138">
      <c r="A138" t="n">
        <v>36</v>
      </c>
      <c r="B138" t="inlineStr">
        <is>
          <t>حسيه لحوح لحم</t>
        </is>
      </c>
      <c r="C138" t="n">
        <v>57.6</v>
      </c>
      <c r="D138" t="n">
        <v>11.52</v>
      </c>
      <c r="E138" t="n">
        <v>2.5</v>
      </c>
      <c r="F138" t="n">
        <v>12.1</v>
      </c>
      <c r="G138" t="n">
        <v>1.44</v>
      </c>
      <c r="H138" t="n">
        <v>34.05</v>
      </c>
      <c r="I138" t="inlineStr">
        <is>
          <t>82%</t>
        </is>
      </c>
      <c r="J138" t="n">
        <v>35</v>
      </c>
      <c r="K138" t="inlineStr">
        <is>
          <t>37%</t>
        </is>
      </c>
      <c r="L138" t="inlineStr">
        <is>
          <t>65%</t>
        </is>
      </c>
    </row>
    <row r="139">
      <c r="A139" t="n">
        <v>37</v>
      </c>
      <c r="B139" t="inlineStr">
        <is>
          <t>حسيه دقيق لحم</t>
        </is>
      </c>
      <c r="C139" t="n">
        <v>57.6</v>
      </c>
      <c r="D139" t="n">
        <v>11.52</v>
      </c>
      <c r="E139" t="n">
        <v>2.5</v>
      </c>
      <c r="F139" t="n">
        <v>12.1</v>
      </c>
      <c r="G139" t="n">
        <v>1.44</v>
      </c>
      <c r="H139" t="n">
        <v>34.05</v>
      </c>
      <c r="I139" t="inlineStr">
        <is>
          <t>82%</t>
        </is>
      </c>
      <c r="J139" t="n">
        <v>35</v>
      </c>
      <c r="K139" t="inlineStr">
        <is>
          <t>37%</t>
        </is>
      </c>
      <c r="L139" t="inlineStr">
        <is>
          <t>65%</t>
        </is>
      </c>
    </row>
    <row r="140">
      <c r="A140" t="n">
        <v>38</v>
      </c>
      <c r="B140" t="inlineStr">
        <is>
          <t>حسيه بيتنا (عزبه)</t>
        </is>
      </c>
      <c r="C140" t="n">
        <v>74.40000000000001</v>
      </c>
      <c r="D140" t="n">
        <v>14.88</v>
      </c>
      <c r="E140" t="n">
        <v>2.5</v>
      </c>
      <c r="F140" t="n">
        <v>15.62</v>
      </c>
      <c r="G140" t="n">
        <v>1.86</v>
      </c>
      <c r="H140" t="n">
        <v>44.71</v>
      </c>
      <c r="I140" t="inlineStr">
        <is>
          <t>83%</t>
        </is>
      </c>
      <c r="J140" t="n">
        <v>45</v>
      </c>
      <c r="K140" t="inlineStr">
        <is>
          <t>38%</t>
        </is>
      </c>
      <c r="L140" t="inlineStr">
        <is>
          <t>65%</t>
        </is>
      </c>
    </row>
    <row r="141">
      <c r="A141" t="n">
        <v>39</v>
      </c>
      <c r="B141" t="inlineStr">
        <is>
          <t>حيسية فرق لحوح</t>
        </is>
      </c>
      <c r="C141" t="n">
        <v>24</v>
      </c>
      <c r="D141" t="n">
        <v>4.8</v>
      </c>
      <c r="E141" t="n">
        <v>2.5</v>
      </c>
      <c r="F141" t="n">
        <v>5.04</v>
      </c>
      <c r="G141" t="n">
        <v>0.6</v>
      </c>
      <c r="H141" t="n">
        <v>12.73</v>
      </c>
      <c r="I141" t="inlineStr">
        <is>
          <t>73%</t>
        </is>
      </c>
      <c r="J141" t="n">
        <v>15</v>
      </c>
      <c r="K141" t="inlineStr">
        <is>
          <t>33%</t>
        </is>
      </c>
      <c r="L141" t="inlineStr">
        <is>
          <t>60%</t>
        </is>
      </c>
    </row>
    <row r="142">
      <c r="A142" t="n">
        <v>40</v>
      </c>
      <c r="B142" t="inlineStr">
        <is>
          <t>مفالت</t>
        </is>
      </c>
      <c r="C142" t="n">
        <v>25.2</v>
      </c>
      <c r="D142" t="n">
        <v>5.04</v>
      </c>
      <c r="E142" t="n">
        <v>2.5</v>
      </c>
      <c r="F142" t="n">
        <v>5.29</v>
      </c>
      <c r="G142" t="n">
        <v>0.63</v>
      </c>
      <c r="H142" t="n">
        <v>13.49</v>
      </c>
      <c r="I142" t="inlineStr">
        <is>
          <t>74%</t>
        </is>
      </c>
      <c r="J142" t="n">
        <v>15</v>
      </c>
      <c r="K142" t="inlineStr">
        <is>
          <t>40%</t>
        </is>
      </c>
      <c r="L142" t="inlineStr">
        <is>
          <t>68%</t>
        </is>
      </c>
    </row>
    <row r="143">
      <c r="A143" t="n">
        <v>41</v>
      </c>
      <c r="B143" t="inlineStr">
        <is>
          <t>لبة أمي</t>
        </is>
      </c>
      <c r="C143" t="n">
        <v>15.6</v>
      </c>
      <c r="D143" t="n">
        <v>3.12</v>
      </c>
      <c r="E143" t="n">
        <v>2.5</v>
      </c>
      <c r="F143" t="n">
        <v>3.28</v>
      </c>
      <c r="G143" t="n">
        <v>0.39</v>
      </c>
      <c r="H143" t="n">
        <v>7.4</v>
      </c>
      <c r="I143" t="inlineStr">
        <is>
          <t>65%</t>
        </is>
      </c>
      <c r="J143" t="n">
        <v>10</v>
      </c>
      <c r="K143" t="inlineStr">
        <is>
          <t>30%</t>
        </is>
      </c>
      <c r="L143" t="inlineStr">
        <is>
          <t>56%</t>
        </is>
      </c>
    </row>
    <row r="144">
      <c r="A144" t="n">
        <v>42</v>
      </c>
      <c r="B144" t="inlineStr">
        <is>
          <t>سلطه شرائح</t>
        </is>
      </c>
      <c r="C144" t="n">
        <v>12</v>
      </c>
      <c r="D144" t="n">
        <v>2.4</v>
      </c>
      <c r="E144" t="n">
        <v>2.4</v>
      </c>
      <c r="F144" t="n">
        <v>2.52</v>
      </c>
      <c r="G144" t="n">
        <v>0.3</v>
      </c>
      <c r="H144" t="n">
        <v>5.21</v>
      </c>
      <c r="I144" t="inlineStr">
        <is>
          <t>60%</t>
        </is>
      </c>
      <c r="J144" t="n">
        <v>8</v>
      </c>
      <c r="K144" t="inlineStr">
        <is>
          <t>25%</t>
        </is>
      </c>
      <c r="L144" t="inlineStr">
        <is>
          <t>50%</t>
        </is>
      </c>
    </row>
    <row r="145">
      <c r="A145" t="n">
        <v>43</v>
      </c>
      <c r="B145" t="inlineStr">
        <is>
          <t>سلطة خضراء</t>
        </is>
      </c>
      <c r="C145" t="n">
        <v>9</v>
      </c>
      <c r="D145" t="n">
        <v>1.8</v>
      </c>
      <c r="E145" t="n">
        <v>1.8</v>
      </c>
      <c r="F145" t="n">
        <v>1.89</v>
      </c>
      <c r="G145" t="n">
        <v>0.23</v>
      </c>
      <c r="H145" t="n">
        <v>3.91</v>
      </c>
      <c r="I145" t="inlineStr">
        <is>
          <t>56%</t>
        </is>
      </c>
      <c r="J145" t="n">
        <v>6</v>
      </c>
      <c r="K145" t="inlineStr">
        <is>
          <t>33%</t>
        </is>
      </c>
      <c r="L145" t="inlineStr">
        <is>
          <t>50%</t>
        </is>
      </c>
    </row>
    <row r="146">
      <c r="A146" t="n">
        <v>44</v>
      </c>
      <c r="B146" t="inlineStr">
        <is>
          <t>سلطة زبادي خيار</t>
        </is>
      </c>
      <c r="C146" t="n">
        <v>8</v>
      </c>
      <c r="D146" t="n">
        <v>1.6</v>
      </c>
      <c r="E146" t="n">
        <v>1.6</v>
      </c>
      <c r="F146" t="n">
        <v>1.68</v>
      </c>
      <c r="G146" t="n">
        <v>0.2</v>
      </c>
      <c r="H146" t="n">
        <v>3.48</v>
      </c>
      <c r="I146" t="inlineStr">
        <is>
          <t>57%</t>
        </is>
      </c>
      <c r="J146" t="n">
        <v>5</v>
      </c>
      <c r="K146" t="inlineStr">
        <is>
          <t>40%</t>
        </is>
      </c>
      <c r="L146" t="inlineStr">
        <is>
          <t>60%</t>
        </is>
      </c>
    </row>
    <row r="147">
      <c r="A147" t="n">
        <v>45</v>
      </c>
      <c r="B147" t="inlineStr">
        <is>
          <t>زبادي</t>
        </is>
      </c>
      <c r="C147" t="n">
        <v>3.6</v>
      </c>
      <c r="D147" t="n">
        <v>0.72</v>
      </c>
      <c r="E147" t="n">
        <v>0.72</v>
      </c>
      <c r="F147" t="n">
        <v>0.76</v>
      </c>
      <c r="G147" t="n">
        <v>0.09</v>
      </c>
      <c r="H147" t="n">
        <v>1.56</v>
      </c>
      <c r="I147" t="inlineStr">
        <is>
          <t>60%</t>
        </is>
      </c>
      <c r="J147" t="n">
        <v>2</v>
      </c>
      <c r="K147" t="inlineStr">
        <is>
          <t>50%</t>
        </is>
      </c>
      <c r="L147" t="inlineStr">
        <is>
          <t>80%</t>
        </is>
      </c>
    </row>
    <row r="148">
      <c r="A148" t="n">
        <v>46</v>
      </c>
      <c r="B148" t="inlineStr">
        <is>
          <t>بسباس</t>
        </is>
      </c>
      <c r="C148" t="n">
        <v>12</v>
      </c>
      <c r="D148" t="n">
        <v>2.4</v>
      </c>
      <c r="E148" t="n">
        <v>2.4</v>
      </c>
      <c r="F148" t="n">
        <v>2.52</v>
      </c>
      <c r="G148" t="n">
        <v>0.3</v>
      </c>
      <c r="H148" t="n">
        <v>5.21</v>
      </c>
      <c r="I148" t="inlineStr">
        <is>
          <t>60%</t>
        </is>
      </c>
      <c r="J148" t="n">
        <v>8</v>
      </c>
      <c r="K148" t="inlineStr">
        <is>
          <t>25%</t>
        </is>
      </c>
      <c r="L148" t="inlineStr">
        <is>
          <t>50%</t>
        </is>
      </c>
    </row>
    <row r="149">
      <c r="A149" t="n">
        <v>47</v>
      </c>
      <c r="B149" t="inlineStr">
        <is>
          <t>سحاوق</t>
        </is>
      </c>
      <c r="C149" t="n">
        <v>8</v>
      </c>
      <c r="D149" t="n">
        <v>1.6</v>
      </c>
      <c r="E149" t="n">
        <v>1.6</v>
      </c>
      <c r="F149" t="n">
        <v>1.68</v>
      </c>
      <c r="G149" t="n">
        <v>0.2</v>
      </c>
      <c r="H149" t="n">
        <v>3.48</v>
      </c>
      <c r="I149" t="inlineStr">
        <is>
          <t>57%</t>
        </is>
      </c>
      <c r="J149" t="n">
        <v>5</v>
      </c>
      <c r="K149" t="inlineStr">
        <is>
          <t>40%</t>
        </is>
      </c>
      <c r="L149" t="inlineStr">
        <is>
          <t>60%</t>
        </is>
      </c>
    </row>
    <row r="150">
      <c r="A150" t="n">
        <v>48</v>
      </c>
      <c r="B150" t="inlineStr">
        <is>
          <t>حبحب</t>
        </is>
      </c>
      <c r="C150" t="n">
        <v>8</v>
      </c>
      <c r="D150" t="n">
        <v>1.6</v>
      </c>
      <c r="E150" t="n">
        <v>1.6</v>
      </c>
      <c r="F150" t="n">
        <v>1.68</v>
      </c>
      <c r="G150" t="n">
        <v>0.2</v>
      </c>
      <c r="H150" t="n">
        <v>3.48</v>
      </c>
      <c r="I150" t="inlineStr">
        <is>
          <t>57%</t>
        </is>
      </c>
      <c r="J150" t="n">
        <v>5</v>
      </c>
      <c r="K150" t="inlineStr">
        <is>
          <t>40%</t>
        </is>
      </c>
      <c r="L150" t="inlineStr">
        <is>
          <t>60%</t>
        </is>
      </c>
    </row>
    <row r="151">
      <c r="A151" t="n">
        <v>49</v>
      </c>
      <c r="B151" t="inlineStr">
        <is>
          <t>زبادي مصلح</t>
        </is>
      </c>
      <c r="C151" t="n">
        <v>8</v>
      </c>
      <c r="D151" t="n">
        <v>1.6</v>
      </c>
      <c r="E151" t="n">
        <v>1.6</v>
      </c>
      <c r="F151" t="n">
        <v>1.68</v>
      </c>
      <c r="G151" t="n">
        <v>0.2</v>
      </c>
      <c r="H151" t="n">
        <v>3.48</v>
      </c>
      <c r="I151" t="inlineStr">
        <is>
          <t>57%</t>
        </is>
      </c>
      <c r="J151" t="n">
        <v>4</v>
      </c>
      <c r="K151" t="inlineStr">
        <is>
          <t>75%</t>
        </is>
      </c>
      <c r="L151" t="inlineStr">
        <is>
          <t>100%</t>
        </is>
      </c>
    </row>
    <row r="152">
      <c r="A152" t="n">
        <v>50</v>
      </c>
      <c r="B152" t="inlineStr">
        <is>
          <t>دقيق</t>
        </is>
      </c>
      <c r="C152" t="n">
        <v>8</v>
      </c>
      <c r="D152" t="n">
        <v>1.6</v>
      </c>
      <c r="E152" t="n">
        <v>1.6</v>
      </c>
      <c r="F152" t="n">
        <v>1.68</v>
      </c>
      <c r="G152" t="n">
        <v>0.2</v>
      </c>
      <c r="H152" t="n">
        <v>3.48</v>
      </c>
      <c r="I152" t="inlineStr">
        <is>
          <t>57%</t>
        </is>
      </c>
      <c r="J152" t="n">
        <v>5</v>
      </c>
      <c r="K152" t="inlineStr">
        <is>
          <t>40%</t>
        </is>
      </c>
      <c r="L152" t="inlineStr">
        <is>
          <t>60%</t>
        </is>
      </c>
    </row>
    <row r="153">
      <c r="A153" t="n">
        <v>51</v>
      </c>
      <c r="B153" t="inlineStr">
        <is>
          <t>خمير</t>
        </is>
      </c>
      <c r="C153" t="n">
        <v>8</v>
      </c>
      <c r="D153" t="n">
        <v>1.6</v>
      </c>
      <c r="E153" t="n">
        <v>1.6</v>
      </c>
      <c r="F153" t="n">
        <v>1.68</v>
      </c>
      <c r="G153" t="n">
        <v>0.2</v>
      </c>
      <c r="H153" t="n">
        <v>3.48</v>
      </c>
      <c r="I153" t="inlineStr">
        <is>
          <t>57%</t>
        </is>
      </c>
      <c r="J153" t="n">
        <v>5</v>
      </c>
      <c r="K153" t="inlineStr">
        <is>
          <t>40%</t>
        </is>
      </c>
      <c r="L153" t="inlineStr">
        <is>
          <t>60%</t>
        </is>
      </c>
    </row>
    <row r="154">
      <c r="A154" t="n">
        <v>52</v>
      </c>
      <c r="B154" t="inlineStr">
        <is>
          <t>بيبسي</t>
        </is>
      </c>
      <c r="C154" t="n">
        <v>4</v>
      </c>
      <c r="D154" t="n">
        <v>0.8</v>
      </c>
      <c r="E154" t="n">
        <v>0.8</v>
      </c>
      <c r="F154" t="n">
        <v>0.84</v>
      </c>
      <c r="G154" t="n">
        <v>0.1</v>
      </c>
      <c r="H154" t="n">
        <v>1.74</v>
      </c>
      <c r="I154" t="inlineStr">
        <is>
          <t>50%</t>
        </is>
      </c>
      <c r="J154" t="n">
        <v>2.5</v>
      </c>
      <c r="K154" t="inlineStr">
        <is>
          <t>60%</t>
        </is>
      </c>
      <c r="L154" t="inlineStr">
        <is>
          <t>60%</t>
        </is>
      </c>
    </row>
    <row r="155">
      <c r="A155" t="n">
        <v>53</v>
      </c>
      <c r="B155" t="inlineStr">
        <is>
          <t>حمضيات</t>
        </is>
      </c>
      <c r="C155" t="n">
        <v>4</v>
      </c>
      <c r="D155" t="n">
        <v>0.8</v>
      </c>
      <c r="E155" t="n">
        <v>0.8</v>
      </c>
      <c r="F155" t="n">
        <v>0.84</v>
      </c>
      <c r="G155" t="n">
        <v>0.1</v>
      </c>
      <c r="H155" t="n">
        <v>1.74</v>
      </c>
      <c r="I155" t="inlineStr">
        <is>
          <t>80%</t>
        </is>
      </c>
      <c r="J155" t="n">
        <v>2.5</v>
      </c>
      <c r="K155" t="inlineStr">
        <is>
          <t>0%</t>
        </is>
      </c>
      <c r="L155" t="inlineStr">
        <is>
          <t>60%</t>
        </is>
      </c>
    </row>
    <row r="156">
      <c r="A156" t="n">
        <v>54</v>
      </c>
      <c r="B156" t="inlineStr">
        <is>
          <t>سفن اب</t>
        </is>
      </c>
      <c r="C156" t="n">
        <v>4</v>
      </c>
      <c r="D156" t="n">
        <v>0.8</v>
      </c>
      <c r="E156" t="n">
        <v>0.8</v>
      </c>
      <c r="F156" t="n">
        <v>0.84</v>
      </c>
      <c r="G156" t="n">
        <v>0.1</v>
      </c>
      <c r="H156" t="n">
        <v>1.74</v>
      </c>
      <c r="I156" t="inlineStr">
        <is>
          <t>80%</t>
        </is>
      </c>
      <c r="J156" t="n">
        <v>2.5</v>
      </c>
      <c r="K156" t="inlineStr">
        <is>
          <t>0%</t>
        </is>
      </c>
      <c r="L156" t="inlineStr">
        <is>
          <t>60%</t>
        </is>
      </c>
    </row>
    <row r="157">
      <c r="A157" t="n">
        <v>55</v>
      </c>
      <c r="B157" t="inlineStr">
        <is>
          <t>لبن المراعى</t>
        </is>
      </c>
      <c r="C157" t="n">
        <v>3</v>
      </c>
      <c r="D157" t="n">
        <v>0.6</v>
      </c>
      <c r="E157" t="n">
        <v>0.6</v>
      </c>
      <c r="F157" t="n">
        <v>0.63</v>
      </c>
      <c r="G157" t="n">
        <v>0.08</v>
      </c>
      <c r="H157" t="n">
        <v>1.3</v>
      </c>
      <c r="I157" t="inlineStr">
        <is>
          <t>50%</t>
        </is>
      </c>
      <c r="J157" t="n">
        <v>2</v>
      </c>
      <c r="K157" t="inlineStr">
        <is>
          <t>50%</t>
        </is>
      </c>
      <c r="L157" t="inlineStr">
        <is>
          <t>50%</t>
        </is>
      </c>
    </row>
    <row r="158">
      <c r="A158" t="n">
        <v>56</v>
      </c>
      <c r="B158" t="inlineStr">
        <is>
          <t>ماء</t>
        </is>
      </c>
      <c r="C158" t="n">
        <v>2</v>
      </c>
      <c r="D158" t="n">
        <v>0.4</v>
      </c>
      <c r="E158" t="n">
        <v>0.4</v>
      </c>
      <c r="F158" t="n">
        <v>0.42</v>
      </c>
      <c r="G158" t="n">
        <v>0.05</v>
      </c>
      <c r="H158" t="n">
        <v>0.87</v>
      </c>
      <c r="I158" t="inlineStr">
        <is>
          <t>50%</t>
        </is>
      </c>
      <c r="J158" t="n">
        <v>1</v>
      </c>
      <c r="K158" t="inlineStr">
        <is>
          <t>100%</t>
        </is>
      </c>
      <c r="L158" t="inlineStr">
        <is>
          <t>100%</t>
        </is>
      </c>
    </row>
    <row r="160">
      <c r="A160" s="6" t="inlineStr">
        <is>
          <t>2-ج) هامش المساهمة لكل صنف (طلب منفرد) والتصنيف بحدود رقمية</t>
        </is>
      </c>
    </row>
    <row r="161">
      <c r="A161" t="inlineStr">
        <is>
          <t>#</t>
        </is>
      </c>
      <c r="B161" t="inlineStr">
        <is>
          <t>الصنف</t>
        </is>
      </c>
      <c r="C161" t="inlineStr">
        <is>
          <t>تكلفة طعام+تغليف</t>
        </is>
      </c>
      <c r="D161" t="inlineStr">
        <is>
          <t>الصافي</t>
        </is>
      </c>
      <c r="E161" t="inlineStr">
        <is>
          <t>هامش المساهمة (CM)</t>
        </is>
      </c>
      <c r="F161" t="inlineStr">
        <is>
          <t>CM%</t>
        </is>
      </c>
      <c r="G161" t="inlineStr">
        <is>
          <t>التصنيف</t>
        </is>
      </c>
      <c r="H161" t="inlineStr">
        <is>
          <t>CM بيع مباشر</t>
        </is>
      </c>
      <c r="I161" t="inlineStr">
        <is>
          <t>الفرق عن المباشر</t>
        </is>
      </c>
      <c r="J161" t="inlineStr">
        <is>
          <t>الصافي ÷ مباشر(بدون ضريبة)</t>
        </is>
      </c>
    </row>
    <row r="162">
      <c r="A162" t="n">
        <v>1</v>
      </c>
      <c r="B162" t="inlineStr">
        <is>
          <t>نفر حنيد بيتنا</t>
        </is>
      </c>
      <c r="C162" t="n">
        <v>31.22</v>
      </c>
      <c r="D162" t="n">
        <v>66.95999999999999</v>
      </c>
      <c r="E162" t="n">
        <v>35.74</v>
      </c>
      <c r="F162" t="inlineStr">
        <is>
          <t>32.6%</t>
        </is>
      </c>
      <c r="G162" t="inlineStr">
        <is>
          <t>🟢 أخضر</t>
        </is>
      </c>
      <c r="H162" t="n">
        <v>60.09</v>
      </c>
      <c r="I162" t="n">
        <v>-24.35</v>
      </c>
      <c r="J162" t="inlineStr">
        <is>
          <t>73%</t>
        </is>
      </c>
    </row>
    <row r="163">
      <c r="A163" t="n">
        <v>2</v>
      </c>
      <c r="B163" t="inlineStr">
        <is>
          <t>حنيذ جيزاني</t>
        </is>
      </c>
      <c r="C163" t="n">
        <v>29.83</v>
      </c>
      <c r="D163" t="n">
        <v>63.15</v>
      </c>
      <c r="E163" t="n">
        <v>33.32</v>
      </c>
      <c r="F163" t="inlineStr">
        <is>
          <t>31.9%</t>
        </is>
      </c>
      <c r="G163" t="inlineStr">
        <is>
          <t>🟢 أخضر</t>
        </is>
      </c>
      <c r="H163" t="n">
        <v>57.13</v>
      </c>
      <c r="I163" t="n">
        <v>-23.81</v>
      </c>
      <c r="J163" t="inlineStr">
        <is>
          <t>73%</t>
        </is>
      </c>
    </row>
    <row r="164">
      <c r="A164" t="n">
        <v>3</v>
      </c>
      <c r="B164" t="inlineStr">
        <is>
          <t>كبسة لحم</t>
        </is>
      </c>
      <c r="C164" t="n">
        <v>29.27</v>
      </c>
      <c r="D164" t="n">
        <v>61.62</v>
      </c>
      <c r="E164" t="n">
        <v>32.36</v>
      </c>
      <c r="F164" t="inlineStr">
        <is>
          <t>31.6%</t>
        </is>
      </c>
      <c r="G164" t="inlineStr">
        <is>
          <t>🟢 أخضر</t>
        </is>
      </c>
      <c r="H164" t="n">
        <v>55.95</v>
      </c>
      <c r="I164" t="n">
        <v>-23.59</v>
      </c>
      <c r="J164" t="inlineStr">
        <is>
          <t>72%</t>
        </is>
      </c>
    </row>
    <row r="165">
      <c r="A165" t="n">
        <v>4</v>
      </c>
      <c r="B165" t="inlineStr">
        <is>
          <t>برمة لحم مع الرز</t>
        </is>
      </c>
      <c r="C165" t="n">
        <v>15.36</v>
      </c>
      <c r="D165" t="n">
        <v>27.55</v>
      </c>
      <c r="E165" t="n">
        <v>12.19</v>
      </c>
      <c r="F165" t="inlineStr">
        <is>
          <t>24.3%</t>
        </is>
      </c>
      <c r="G165" t="inlineStr">
        <is>
          <t>🟡 أصفر</t>
        </is>
      </c>
      <c r="H165" t="n">
        <v>26.38</v>
      </c>
      <c r="I165" t="n">
        <v>-14.19</v>
      </c>
      <c r="J165" t="inlineStr">
        <is>
          <t>66%</t>
        </is>
      </c>
    </row>
    <row r="166">
      <c r="A166" t="n">
        <v>5</v>
      </c>
      <c r="B166" t="inlineStr">
        <is>
          <t>مغش لحم</t>
        </is>
      </c>
      <c r="C166" t="n">
        <v>18.42</v>
      </c>
      <c r="D166" t="n">
        <v>33.93</v>
      </c>
      <c r="E166" t="n">
        <v>15.51</v>
      </c>
      <c r="F166" t="inlineStr">
        <is>
          <t>25.2%</t>
        </is>
      </c>
      <c r="G166" t="inlineStr">
        <is>
          <t>🟡 أصفر</t>
        </is>
      </c>
      <c r="H166" t="n">
        <v>32.89</v>
      </c>
      <c r="I166" t="n">
        <v>-17.38</v>
      </c>
      <c r="J166" t="inlineStr">
        <is>
          <t>66%</t>
        </is>
      </c>
    </row>
    <row r="167">
      <c r="A167" t="n">
        <v>6</v>
      </c>
      <c r="B167" t="inlineStr">
        <is>
          <t>ربع شواية مع الرز</t>
        </is>
      </c>
      <c r="C167" t="n">
        <v>7.29</v>
      </c>
      <c r="D167" t="n">
        <v>7.47</v>
      </c>
      <c r="E167" t="n">
        <v>0.18</v>
      </c>
      <c r="F167" t="inlineStr">
        <is>
          <t>0.9%</t>
        </is>
      </c>
      <c r="G167" t="inlineStr">
        <is>
          <t>🔴 أحمر</t>
        </is>
      </c>
      <c r="H167" t="n">
        <v>9.23</v>
      </c>
      <c r="I167" t="n">
        <v>-9.050000000000001</v>
      </c>
      <c r="J167" t="inlineStr">
        <is>
          <t>45%</t>
        </is>
      </c>
    </row>
    <row r="168">
      <c r="A168" t="n">
        <v>7</v>
      </c>
      <c r="B168" t="inlineStr">
        <is>
          <t>نص شواية مع الرز</t>
        </is>
      </c>
      <c r="C168" t="n">
        <v>9.51</v>
      </c>
      <c r="D168" t="n">
        <v>13.56</v>
      </c>
      <c r="E168" t="n">
        <v>4.05</v>
      </c>
      <c r="F168" t="inlineStr">
        <is>
          <t>14.4%</t>
        </is>
      </c>
      <c r="G168" t="inlineStr">
        <is>
          <t>🔴 أحمر</t>
        </is>
      </c>
      <c r="H168" t="n">
        <v>13.97</v>
      </c>
      <c r="I168" t="n">
        <v>-9.92</v>
      </c>
      <c r="J168" t="inlineStr">
        <is>
          <t>58%</t>
        </is>
      </c>
    </row>
    <row r="169">
      <c r="A169" t="n">
        <v>8</v>
      </c>
      <c r="B169" t="inlineStr">
        <is>
          <t>حبه شوايه مع الرز</t>
        </is>
      </c>
      <c r="C169" t="n">
        <v>17.3</v>
      </c>
      <c r="D169" t="n">
        <v>30.88</v>
      </c>
      <c r="E169" t="n">
        <v>13.58</v>
      </c>
      <c r="F169" t="inlineStr">
        <is>
          <t>23.7%</t>
        </is>
      </c>
      <c r="G169" t="inlineStr">
        <is>
          <t>🟡 أصفر</t>
        </is>
      </c>
      <c r="H169" t="n">
        <v>30.52</v>
      </c>
      <c r="I169" t="n">
        <v>-16.94</v>
      </c>
      <c r="J169" t="inlineStr">
        <is>
          <t>65%</t>
        </is>
      </c>
    </row>
    <row r="170">
      <c r="A170" t="n">
        <v>9</v>
      </c>
      <c r="B170" t="inlineStr">
        <is>
          <t>حبه مقلوبه مع الرز</t>
        </is>
      </c>
      <c r="C170" t="n">
        <v>17.3</v>
      </c>
      <c r="D170" t="n">
        <v>30.88</v>
      </c>
      <c r="E170" t="n">
        <v>13.58</v>
      </c>
      <c r="F170" t="inlineStr">
        <is>
          <t>23.7%</t>
        </is>
      </c>
      <c r="G170" t="inlineStr">
        <is>
          <t>🟡 أصفر</t>
        </is>
      </c>
      <c r="H170" t="n">
        <v>30.52</v>
      </c>
      <c r="I170" t="n">
        <v>-16.94</v>
      </c>
      <c r="J170" t="inlineStr">
        <is>
          <t>65%</t>
        </is>
      </c>
    </row>
    <row r="171">
      <c r="A171" t="n">
        <v>10</v>
      </c>
      <c r="B171" t="inlineStr">
        <is>
          <t>نص مضغوط</t>
        </is>
      </c>
      <c r="C171" t="n">
        <v>9.51</v>
      </c>
      <c r="D171" t="n">
        <v>13.56</v>
      </c>
      <c r="E171" t="n">
        <v>4.05</v>
      </c>
      <c r="F171" t="inlineStr">
        <is>
          <t>14.4%</t>
        </is>
      </c>
      <c r="G171" t="inlineStr">
        <is>
          <t>🔴 أحمر</t>
        </is>
      </c>
      <c r="H171" t="n">
        <v>13.97</v>
      </c>
      <c r="I171" t="n">
        <v>-9.92</v>
      </c>
      <c r="J171" t="inlineStr">
        <is>
          <t>58%</t>
        </is>
      </c>
    </row>
    <row r="172">
      <c r="A172" t="n">
        <v>11</v>
      </c>
      <c r="B172" t="inlineStr">
        <is>
          <t>نص ميفى مع الرز</t>
        </is>
      </c>
      <c r="C172" t="n">
        <v>9.51</v>
      </c>
      <c r="D172" t="n">
        <v>13.56</v>
      </c>
      <c r="E172" t="n">
        <v>4.05</v>
      </c>
      <c r="F172" t="inlineStr">
        <is>
          <t>14.4%</t>
        </is>
      </c>
      <c r="G172" t="inlineStr">
        <is>
          <t>🔴 أحمر</t>
        </is>
      </c>
      <c r="H172" t="n">
        <v>13.97</v>
      </c>
      <c r="I172" t="n">
        <v>-9.92</v>
      </c>
      <c r="J172" t="inlineStr">
        <is>
          <t>58%</t>
        </is>
      </c>
    </row>
    <row r="173">
      <c r="A173" t="n">
        <v>12</v>
      </c>
      <c r="B173" t="inlineStr">
        <is>
          <t>نص شواية سادة</t>
        </is>
      </c>
      <c r="C173" t="n">
        <v>7.57</v>
      </c>
      <c r="D173" t="n">
        <v>8.23</v>
      </c>
      <c r="E173" t="n">
        <v>0.66</v>
      </c>
      <c r="F173" t="inlineStr">
        <is>
          <t>3.2%</t>
        </is>
      </c>
      <c r="G173" t="inlineStr">
        <is>
          <t>🔴 أحمر</t>
        </is>
      </c>
      <c r="H173" t="n">
        <v>9.83</v>
      </c>
      <c r="I173" t="n">
        <v>-9.16</v>
      </c>
      <c r="J173" t="inlineStr">
        <is>
          <t>47%</t>
        </is>
      </c>
    </row>
    <row r="174">
      <c r="A174" t="n">
        <v>13</v>
      </c>
      <c r="B174" t="inlineStr">
        <is>
          <t>نص ميفى سادة</t>
        </is>
      </c>
      <c r="C174" t="n">
        <v>7.57</v>
      </c>
      <c r="D174" t="n">
        <v>8.23</v>
      </c>
      <c r="E174" t="n">
        <v>0.66</v>
      </c>
      <c r="F174" t="inlineStr">
        <is>
          <t>3.2%</t>
        </is>
      </c>
      <c r="G174" t="inlineStr">
        <is>
          <t>🔴 أحمر</t>
        </is>
      </c>
      <c r="H174" t="n">
        <v>9.83</v>
      </c>
      <c r="I174" t="n">
        <v>-9.16</v>
      </c>
      <c r="J174" t="inlineStr">
        <is>
          <t>47%</t>
        </is>
      </c>
    </row>
    <row r="175">
      <c r="A175" t="n">
        <v>14</v>
      </c>
      <c r="B175" t="inlineStr">
        <is>
          <t>حبة ميفى</t>
        </is>
      </c>
      <c r="C175" t="n">
        <v>17.3</v>
      </c>
      <c r="D175" t="n">
        <v>30.88</v>
      </c>
      <c r="E175" t="n">
        <v>13.58</v>
      </c>
      <c r="F175" t="inlineStr">
        <is>
          <t>23.7%</t>
        </is>
      </c>
      <c r="G175" t="inlineStr">
        <is>
          <t>🟡 أصفر</t>
        </is>
      </c>
      <c r="H175" t="n">
        <v>30.52</v>
      </c>
      <c r="I175" t="n">
        <v>-16.94</v>
      </c>
      <c r="J175" t="inlineStr">
        <is>
          <t>65%</t>
        </is>
      </c>
    </row>
    <row r="176">
      <c r="A176" t="n">
        <v>15</v>
      </c>
      <c r="B176" t="inlineStr">
        <is>
          <t>حبة مضغوط</t>
        </is>
      </c>
      <c r="C176" t="n">
        <v>17.3</v>
      </c>
      <c r="D176" t="n">
        <v>30.88</v>
      </c>
      <c r="E176" t="n">
        <v>13.58</v>
      </c>
      <c r="F176" t="inlineStr">
        <is>
          <t>23.7%</t>
        </is>
      </c>
      <c r="G176" t="inlineStr">
        <is>
          <t>🟡 أصفر</t>
        </is>
      </c>
      <c r="H176" t="n">
        <v>30.52</v>
      </c>
      <c r="I176" t="n">
        <v>-16.94</v>
      </c>
      <c r="J176" t="inlineStr">
        <is>
          <t>65%</t>
        </is>
      </c>
    </row>
    <row r="177">
      <c r="A177" t="n">
        <v>16</v>
      </c>
      <c r="B177" t="inlineStr">
        <is>
          <t>نص مقلوبه</t>
        </is>
      </c>
      <c r="C177" t="n">
        <v>9.51</v>
      </c>
      <c r="D177" t="n">
        <v>13.56</v>
      </c>
      <c r="E177" t="n">
        <v>4.05</v>
      </c>
      <c r="F177" t="inlineStr">
        <is>
          <t>14.4%</t>
        </is>
      </c>
      <c r="G177" t="inlineStr">
        <is>
          <t>🔴 أحمر</t>
        </is>
      </c>
      <c r="H177" t="n">
        <v>13.97</v>
      </c>
      <c r="I177" t="n">
        <v>-9.92</v>
      </c>
      <c r="J177" t="inlineStr">
        <is>
          <t>58%</t>
        </is>
      </c>
    </row>
    <row r="178">
      <c r="A178" t="n">
        <v>17</v>
      </c>
      <c r="B178" t="inlineStr">
        <is>
          <t>لحوح مكشن</t>
        </is>
      </c>
      <c r="C178" t="n">
        <v>8.960000000000001</v>
      </c>
      <c r="D178" t="n">
        <v>12.04</v>
      </c>
      <c r="E178" t="n">
        <v>3.08</v>
      </c>
      <c r="F178" t="inlineStr">
        <is>
          <t>11.8%</t>
        </is>
      </c>
      <c r="G178" t="inlineStr">
        <is>
          <t>🔴 أحمر</t>
        </is>
      </c>
      <c r="H178" t="n">
        <v>12.78</v>
      </c>
      <c r="I178" t="n">
        <v>-9.699999999999999</v>
      </c>
      <c r="J178" t="inlineStr">
        <is>
          <t>55%</t>
        </is>
      </c>
    </row>
    <row r="179">
      <c r="A179" t="n">
        <v>18</v>
      </c>
      <c r="B179" t="inlineStr">
        <is>
          <t>مرقوق بيتنا لحم</t>
        </is>
      </c>
      <c r="C179" t="n">
        <v>20.09</v>
      </c>
      <c r="D179" t="n">
        <v>38.5</v>
      </c>
      <c r="E179" t="n">
        <v>18.41</v>
      </c>
      <c r="F179" t="inlineStr">
        <is>
          <t>27.1%</t>
        </is>
      </c>
      <c r="G179" t="inlineStr">
        <is>
          <t>🟡 أصفر</t>
        </is>
      </c>
      <c r="H179" t="n">
        <v>36.43</v>
      </c>
      <c r="I179" t="n">
        <v>-18.03</v>
      </c>
      <c r="J179" t="inlineStr">
        <is>
          <t>68%</t>
        </is>
      </c>
    </row>
    <row r="180">
      <c r="A180" t="n">
        <v>19</v>
      </c>
      <c r="B180" t="inlineStr">
        <is>
          <t>مرقوق بيتنا</t>
        </is>
      </c>
      <c r="C180" t="n">
        <v>11.74</v>
      </c>
      <c r="D180" t="n">
        <v>18.65</v>
      </c>
      <c r="E180" t="n">
        <v>6.91</v>
      </c>
      <c r="F180" t="inlineStr">
        <is>
          <t>18.9%</t>
        </is>
      </c>
      <c r="G180" t="inlineStr">
        <is>
          <t>🟡 أصفر</t>
        </is>
      </c>
      <c r="H180" t="n">
        <v>18.7</v>
      </c>
      <c r="I180" t="n">
        <v>-11.78</v>
      </c>
      <c r="J180" t="inlineStr">
        <is>
          <t>61%</t>
        </is>
      </c>
    </row>
    <row r="181">
      <c r="A181" t="n">
        <v>20</v>
      </c>
      <c r="B181" t="inlineStr">
        <is>
          <t>مرسه بلدي</t>
        </is>
      </c>
      <c r="C181" t="n">
        <v>11.18</v>
      </c>
      <c r="D181" t="n">
        <v>18.13</v>
      </c>
      <c r="E181" t="n">
        <v>6.95</v>
      </c>
      <c r="F181" t="inlineStr">
        <is>
          <t>20.2%</t>
        </is>
      </c>
      <c r="G181" t="inlineStr">
        <is>
          <t>🟡 أصفر</t>
        </is>
      </c>
      <c r="H181" t="n">
        <v>17.51</v>
      </c>
      <c r="I181" t="n">
        <v>-10.57</v>
      </c>
      <c r="J181" t="inlineStr">
        <is>
          <t>63%</t>
        </is>
      </c>
    </row>
    <row r="182">
      <c r="A182" t="n">
        <v>21</v>
      </c>
      <c r="B182" t="inlineStr">
        <is>
          <t>مرسه عادي</t>
        </is>
      </c>
      <c r="C182" t="n">
        <v>5.62</v>
      </c>
      <c r="D182" t="n">
        <v>2.9</v>
      </c>
      <c r="E182" t="n">
        <v>-2.72</v>
      </c>
      <c r="F182" t="inlineStr">
        <is>
          <t>-20.0%</t>
        </is>
      </c>
      <c r="G182" t="inlineStr">
        <is>
          <t>🔴 أحمر</t>
        </is>
      </c>
      <c r="H182" t="n">
        <v>5.69</v>
      </c>
      <c r="I182" t="n">
        <v>-8.41</v>
      </c>
      <c r="J182" t="inlineStr">
        <is>
          <t>26%</t>
        </is>
      </c>
    </row>
    <row r="183">
      <c r="A183" t="n">
        <v>22</v>
      </c>
      <c r="B183" t="inlineStr">
        <is>
          <t>مرسة دخن</t>
        </is>
      </c>
      <c r="C183" t="n">
        <v>11.18</v>
      </c>
      <c r="D183" t="n">
        <v>18.13</v>
      </c>
      <c r="E183" t="n">
        <v>6.95</v>
      </c>
      <c r="F183" t="inlineStr">
        <is>
          <t>20.2%</t>
        </is>
      </c>
      <c r="G183" t="inlineStr">
        <is>
          <t>🟡 أصفر</t>
        </is>
      </c>
      <c r="H183" t="n">
        <v>17.51</v>
      </c>
      <c r="I183" t="n">
        <v>-10.57</v>
      </c>
      <c r="J183" t="inlineStr">
        <is>
          <t>63%</t>
        </is>
      </c>
    </row>
    <row r="184">
      <c r="A184" t="n">
        <v>23</v>
      </c>
      <c r="B184" t="inlineStr">
        <is>
          <t>فتة حديدي</t>
        </is>
      </c>
      <c r="C184" t="n">
        <v>5.62</v>
      </c>
      <c r="D184" t="n">
        <v>2.9</v>
      </c>
      <c r="E184" t="n">
        <v>-2.72</v>
      </c>
      <c r="F184" t="inlineStr">
        <is>
          <t>-20.0%</t>
        </is>
      </c>
      <c r="G184" t="inlineStr">
        <is>
          <t>🔴 أحمر</t>
        </is>
      </c>
      <c r="H184" t="n">
        <v>5.69</v>
      </c>
      <c r="I184" t="n">
        <v>-8.41</v>
      </c>
      <c r="J184" t="inlineStr">
        <is>
          <t>26%</t>
        </is>
      </c>
    </row>
    <row r="185">
      <c r="A185" t="n">
        <v>24</v>
      </c>
      <c r="B185" t="inlineStr">
        <is>
          <t>شفوت</t>
        </is>
      </c>
      <c r="C185" t="n">
        <v>7.57</v>
      </c>
      <c r="D185" t="n">
        <v>8.23</v>
      </c>
      <c r="E185" t="n">
        <v>0.66</v>
      </c>
      <c r="F185" t="inlineStr">
        <is>
          <t>3.2%</t>
        </is>
      </c>
      <c r="G185" t="inlineStr">
        <is>
          <t>🔴 أحمر</t>
        </is>
      </c>
      <c r="H185" t="n">
        <v>9.83</v>
      </c>
      <c r="I185" t="n">
        <v>-9.16</v>
      </c>
      <c r="J185" t="inlineStr">
        <is>
          <t>47%</t>
        </is>
      </c>
    </row>
    <row r="186">
      <c r="A186" t="n">
        <v>25</v>
      </c>
      <c r="B186" t="inlineStr">
        <is>
          <t>ملوخية</t>
        </is>
      </c>
      <c r="C186" t="n">
        <v>4.78</v>
      </c>
      <c r="D186" t="n">
        <v>0.61</v>
      </c>
      <c r="E186" t="n">
        <v>-4.17</v>
      </c>
      <c r="F186" t="inlineStr">
        <is>
          <t>-39.9%</t>
        </is>
      </c>
      <c r="G186" t="inlineStr">
        <is>
          <t>🔴 أحمر</t>
        </is>
      </c>
      <c r="H186" t="n">
        <v>3.91</v>
      </c>
      <c r="I186" t="n">
        <v>-8.08</v>
      </c>
      <c r="J186" t="inlineStr">
        <is>
          <t>7%</t>
        </is>
      </c>
    </row>
    <row r="187">
      <c r="A187" t="n">
        <v>26</v>
      </c>
      <c r="B187" t="inlineStr">
        <is>
          <t>مصقعه</t>
        </is>
      </c>
      <c r="C187" t="n">
        <v>4.78</v>
      </c>
      <c r="D187" t="n">
        <v>0.61</v>
      </c>
      <c r="E187" t="n">
        <v>-4.17</v>
      </c>
      <c r="F187" t="inlineStr">
        <is>
          <t>-39.9%</t>
        </is>
      </c>
      <c r="G187" t="inlineStr">
        <is>
          <t>🔴 أحمر</t>
        </is>
      </c>
      <c r="H187" t="n">
        <v>3.91</v>
      </c>
      <c r="I187" t="n">
        <v>-8.08</v>
      </c>
      <c r="J187" t="inlineStr">
        <is>
          <t>7%</t>
        </is>
      </c>
    </row>
    <row r="188">
      <c r="A188" t="n">
        <v>27</v>
      </c>
      <c r="B188" t="inlineStr">
        <is>
          <t>مشكل ميفى</t>
        </is>
      </c>
      <c r="C188" t="n">
        <v>5.06</v>
      </c>
      <c r="D188" t="n">
        <v>1.38</v>
      </c>
      <c r="E188" t="n">
        <v>-3.68</v>
      </c>
      <c r="F188" t="inlineStr">
        <is>
          <t>-32.1%</t>
        </is>
      </c>
      <c r="G188" t="inlineStr">
        <is>
          <t>🔴 أحمر</t>
        </is>
      </c>
      <c r="H188" t="n">
        <v>4.5</v>
      </c>
      <c r="I188" t="n">
        <v>-8.19</v>
      </c>
      <c r="J188" t="inlineStr">
        <is>
          <t>14%</t>
        </is>
      </c>
    </row>
    <row r="189">
      <c r="A189" t="n">
        <v>28</v>
      </c>
      <c r="B189" t="inlineStr">
        <is>
          <t>قوار</t>
        </is>
      </c>
      <c r="C189" t="n">
        <v>5.62</v>
      </c>
      <c r="D189" t="n">
        <v>2.9</v>
      </c>
      <c r="E189" t="n">
        <v>-2.72</v>
      </c>
      <c r="F189" t="inlineStr">
        <is>
          <t>-20.0%</t>
        </is>
      </c>
      <c r="G189" t="inlineStr">
        <is>
          <t>🔴 أحمر</t>
        </is>
      </c>
      <c r="H189" t="n">
        <v>5.69</v>
      </c>
      <c r="I189" t="n">
        <v>-8.41</v>
      </c>
      <c r="J189" t="inlineStr">
        <is>
          <t>26%</t>
        </is>
      </c>
    </row>
    <row r="190">
      <c r="A190" t="n">
        <v>29</v>
      </c>
      <c r="B190" t="inlineStr">
        <is>
          <t>مكشن اندومي</t>
        </is>
      </c>
      <c r="C190" t="n">
        <v>8.119999999999999</v>
      </c>
      <c r="D190" t="n">
        <v>9.75</v>
      </c>
      <c r="E190" t="n">
        <v>1.63</v>
      </c>
      <c r="F190" t="inlineStr">
        <is>
          <t>7.1%</t>
        </is>
      </c>
      <c r="G190" t="inlineStr">
        <is>
          <t>🔴 أحمر</t>
        </is>
      </c>
      <c r="H190" t="n">
        <v>11.01</v>
      </c>
      <c r="I190" t="n">
        <v>-9.380000000000001</v>
      </c>
      <c r="J190" t="inlineStr">
        <is>
          <t>51%</t>
        </is>
      </c>
    </row>
    <row r="191">
      <c r="A191" t="n">
        <v>30</v>
      </c>
      <c r="B191" t="inlineStr">
        <is>
          <t>رز</t>
        </is>
      </c>
      <c r="C191" t="n">
        <v>4.78</v>
      </c>
      <c r="D191" t="n">
        <v>0.61</v>
      </c>
      <c r="E191" t="n">
        <v>-4.17</v>
      </c>
      <c r="F191" t="inlineStr">
        <is>
          <t>-39.9%</t>
        </is>
      </c>
      <c r="G191" t="inlineStr">
        <is>
          <t>🔴 أحمر</t>
        </is>
      </c>
      <c r="H191" t="n">
        <v>3.91</v>
      </c>
      <c r="I191" t="n">
        <v>-8.08</v>
      </c>
      <c r="J191" t="inlineStr">
        <is>
          <t>7%</t>
        </is>
      </c>
    </row>
    <row r="192">
      <c r="A192" t="n">
        <v>31</v>
      </c>
      <c r="B192" t="inlineStr">
        <is>
          <t>مكشن سمك</t>
        </is>
      </c>
      <c r="C192" t="n">
        <v>18.14</v>
      </c>
      <c r="D192" t="n">
        <v>33.17</v>
      </c>
      <c r="E192" t="n">
        <v>15.03</v>
      </c>
      <c r="F192" t="inlineStr">
        <is>
          <t>24.8%</t>
        </is>
      </c>
      <c r="G192" t="inlineStr">
        <is>
          <t>🟡 أصفر</t>
        </is>
      </c>
      <c r="H192" t="n">
        <v>32.3</v>
      </c>
      <c r="I192" t="n">
        <v>-17.27</v>
      </c>
      <c r="J192" t="inlineStr">
        <is>
          <t>66%</t>
        </is>
      </c>
    </row>
    <row r="193">
      <c r="A193" t="n">
        <v>32</v>
      </c>
      <c r="B193" t="inlineStr">
        <is>
          <t>حسيه خمير</t>
        </is>
      </c>
      <c r="C193" t="n">
        <v>8.119999999999999</v>
      </c>
      <c r="D193" t="n">
        <v>9.75</v>
      </c>
      <c r="E193" t="n">
        <v>1.63</v>
      </c>
      <c r="F193" t="inlineStr">
        <is>
          <t>7.1%</t>
        </is>
      </c>
      <c r="G193" t="inlineStr">
        <is>
          <t>🔴 أحمر</t>
        </is>
      </c>
      <c r="H193" t="n">
        <v>11.01</v>
      </c>
      <c r="I193" t="n">
        <v>-9.380000000000001</v>
      </c>
      <c r="J193" t="inlineStr">
        <is>
          <t>51%</t>
        </is>
      </c>
    </row>
    <row r="194">
      <c r="A194" t="n">
        <v>33</v>
      </c>
      <c r="B194" t="inlineStr">
        <is>
          <t>حسيه لحم خمير</t>
        </is>
      </c>
      <c r="C194" t="n">
        <v>17.03</v>
      </c>
      <c r="D194" t="n">
        <v>30.12</v>
      </c>
      <c r="E194" t="n">
        <v>13.09</v>
      </c>
      <c r="F194" t="inlineStr">
        <is>
          <t>23.2%</t>
        </is>
      </c>
      <c r="G194" t="inlineStr">
        <is>
          <t>🟡 أصفر</t>
        </is>
      </c>
      <c r="H194" t="n">
        <v>29.93</v>
      </c>
      <c r="I194" t="n">
        <v>-16.84</v>
      </c>
      <c r="J194" t="inlineStr">
        <is>
          <t>64%</t>
        </is>
      </c>
    </row>
    <row r="195">
      <c r="A195" t="n">
        <v>34</v>
      </c>
      <c r="B195" t="inlineStr">
        <is>
          <t>حسيه فرق خمير</t>
        </is>
      </c>
      <c r="C195" t="n">
        <v>9.51</v>
      </c>
      <c r="D195" t="n">
        <v>13.56</v>
      </c>
      <c r="E195" t="n">
        <v>4.05</v>
      </c>
      <c r="F195" t="inlineStr">
        <is>
          <t>14.4%</t>
        </is>
      </c>
      <c r="G195" t="inlineStr">
        <is>
          <t>🔴 أحمر</t>
        </is>
      </c>
      <c r="H195" t="n">
        <v>13.97</v>
      </c>
      <c r="I195" t="n">
        <v>-9.92</v>
      </c>
      <c r="J195" t="inlineStr">
        <is>
          <t>58%</t>
        </is>
      </c>
    </row>
    <row r="196">
      <c r="A196" t="n">
        <v>35</v>
      </c>
      <c r="B196" t="inlineStr">
        <is>
          <t>حسيه سمك</t>
        </is>
      </c>
      <c r="C196" t="n">
        <v>15.36</v>
      </c>
      <c r="D196" t="n">
        <v>27.55</v>
      </c>
      <c r="E196" t="n">
        <v>12.19</v>
      </c>
      <c r="F196" t="inlineStr">
        <is>
          <t>24.3%</t>
        </is>
      </c>
      <c r="G196" t="inlineStr">
        <is>
          <t>🟡 أصفر</t>
        </is>
      </c>
      <c r="H196" t="n">
        <v>26.38</v>
      </c>
      <c r="I196" t="n">
        <v>-14.19</v>
      </c>
      <c r="J196" t="inlineStr">
        <is>
          <t>66%</t>
        </is>
      </c>
    </row>
    <row r="197">
      <c r="A197" t="n">
        <v>36</v>
      </c>
      <c r="B197" t="inlineStr">
        <is>
          <t>حسيه لحوح لحم</t>
        </is>
      </c>
      <c r="C197" t="n">
        <v>15.36</v>
      </c>
      <c r="D197" t="n">
        <v>27.55</v>
      </c>
      <c r="E197" t="n">
        <v>12.19</v>
      </c>
      <c r="F197" t="inlineStr">
        <is>
          <t>24.3%</t>
        </is>
      </c>
      <c r="G197" t="inlineStr">
        <is>
          <t>🟡 أصفر</t>
        </is>
      </c>
      <c r="H197" t="n">
        <v>26.38</v>
      </c>
      <c r="I197" t="n">
        <v>-14.19</v>
      </c>
      <c r="J197" t="inlineStr">
        <is>
          <t>66%</t>
        </is>
      </c>
    </row>
    <row r="198">
      <c r="A198" t="n">
        <v>37</v>
      </c>
      <c r="B198" t="inlineStr">
        <is>
          <t>حسيه دقيق لحم</t>
        </is>
      </c>
      <c r="C198" t="n">
        <v>15.36</v>
      </c>
      <c r="D198" t="n">
        <v>27.55</v>
      </c>
      <c r="E198" t="n">
        <v>12.19</v>
      </c>
      <c r="F198" t="inlineStr">
        <is>
          <t>24.3%</t>
        </is>
      </c>
      <c r="G198" t="inlineStr">
        <is>
          <t>🟡 أصفر</t>
        </is>
      </c>
      <c r="H198" t="n">
        <v>26.38</v>
      </c>
      <c r="I198" t="n">
        <v>-14.19</v>
      </c>
      <c r="J198" t="inlineStr">
        <is>
          <t>66%</t>
        </is>
      </c>
    </row>
    <row r="199">
      <c r="A199" t="n">
        <v>38</v>
      </c>
      <c r="B199" t="inlineStr">
        <is>
          <t>حسيه بيتنا (عزبه)</t>
        </is>
      </c>
      <c r="C199" t="n">
        <v>19.25</v>
      </c>
      <c r="D199" t="n">
        <v>36.21</v>
      </c>
      <c r="E199" t="n">
        <v>16.96</v>
      </c>
      <c r="F199" t="inlineStr">
        <is>
          <t>26.2%</t>
        </is>
      </c>
      <c r="G199" t="inlineStr">
        <is>
          <t>🟡 أصفر</t>
        </is>
      </c>
      <c r="H199" t="n">
        <v>34.66</v>
      </c>
      <c r="I199" t="n">
        <v>-17.7</v>
      </c>
      <c r="J199" t="inlineStr">
        <is>
          <t>67%</t>
        </is>
      </c>
    </row>
    <row r="200">
      <c r="A200" t="n">
        <v>39</v>
      </c>
      <c r="B200" t="inlineStr">
        <is>
          <t>حيسية فرق لحوح</t>
        </is>
      </c>
      <c r="C200" t="n">
        <v>7.57</v>
      </c>
      <c r="D200" t="n">
        <v>8.23</v>
      </c>
      <c r="E200" t="n">
        <v>0.66</v>
      </c>
      <c r="F200" t="inlineStr">
        <is>
          <t>3.2%</t>
        </is>
      </c>
      <c r="G200" t="inlineStr">
        <is>
          <t>🔴 أحمر</t>
        </is>
      </c>
      <c r="H200" t="n">
        <v>9.83</v>
      </c>
      <c r="I200" t="n">
        <v>-9.16</v>
      </c>
      <c r="J200" t="inlineStr">
        <is>
          <t>47%</t>
        </is>
      </c>
    </row>
    <row r="201">
      <c r="A201" t="n">
        <v>40</v>
      </c>
      <c r="B201" t="inlineStr">
        <is>
          <t>مفالت</t>
        </is>
      </c>
      <c r="C201" t="n">
        <v>7.84</v>
      </c>
      <c r="D201" t="n">
        <v>8.99</v>
      </c>
      <c r="E201" t="n">
        <v>1.15</v>
      </c>
      <c r="F201" t="inlineStr">
        <is>
          <t>5.2%</t>
        </is>
      </c>
      <c r="G201" t="inlineStr">
        <is>
          <t>🔴 أحمر</t>
        </is>
      </c>
      <c r="H201" t="n">
        <v>10.42</v>
      </c>
      <c r="I201" t="n">
        <v>-9.27</v>
      </c>
      <c r="J201" t="inlineStr">
        <is>
          <t>49%</t>
        </is>
      </c>
    </row>
    <row r="202">
      <c r="A202" t="n">
        <v>41</v>
      </c>
      <c r="B202" t="inlineStr">
        <is>
          <t>لبة أمي</t>
        </is>
      </c>
      <c r="C202" t="n">
        <v>5.62</v>
      </c>
      <c r="D202" t="n">
        <v>2.9</v>
      </c>
      <c r="E202" t="n">
        <v>-2.72</v>
      </c>
      <c r="F202" t="inlineStr">
        <is>
          <t>-20.0%</t>
        </is>
      </c>
      <c r="G202" t="inlineStr">
        <is>
          <t>🔴 أحمر</t>
        </is>
      </c>
      <c r="H202" t="n">
        <v>5.69</v>
      </c>
      <c r="I202" t="n">
        <v>-8.41</v>
      </c>
      <c r="J202" t="inlineStr">
        <is>
          <t>26%</t>
        </is>
      </c>
    </row>
    <row r="203">
      <c r="A203" t="n">
        <v>42</v>
      </c>
      <c r="B203" t="inlineStr">
        <is>
          <t>سلطه شرائح</t>
        </is>
      </c>
      <c r="C203" t="n">
        <v>4.78</v>
      </c>
      <c r="D203" t="n">
        <v>0.61</v>
      </c>
      <c r="E203" t="n">
        <v>-4.17</v>
      </c>
      <c r="F203" t="inlineStr">
        <is>
          <t>-39.9%</t>
        </is>
      </c>
      <c r="G203" t="inlineStr">
        <is>
          <t>🔴 أحمر</t>
        </is>
      </c>
      <c r="H203" t="n">
        <v>3.91</v>
      </c>
      <c r="I203" t="n">
        <v>-8.08</v>
      </c>
      <c r="J203" t="inlineStr">
        <is>
          <t>7%</t>
        </is>
      </c>
    </row>
    <row r="204">
      <c r="A204" t="n">
        <v>43</v>
      </c>
      <c r="B204" t="inlineStr">
        <is>
          <t>سلطة خضراء</t>
        </is>
      </c>
      <c r="C204" t="n">
        <v>4.23</v>
      </c>
      <c r="D204" t="n">
        <v>-1.29</v>
      </c>
      <c r="E204" t="n">
        <v>-5.51</v>
      </c>
      <c r="F204" t="inlineStr">
        <is>
          <t>-70.5%</t>
        </is>
      </c>
      <c r="G204" t="inlineStr">
        <is>
          <t>🔴 أحمر</t>
        </is>
      </c>
      <c r="H204" t="n">
        <v>2.73</v>
      </c>
      <c r="I204" t="n">
        <v>-8.25</v>
      </c>
      <c r="J204" t="inlineStr">
        <is>
          <t>-19%</t>
        </is>
      </c>
    </row>
    <row r="205">
      <c r="A205" t="n">
        <v>44</v>
      </c>
      <c r="B205" t="inlineStr">
        <is>
          <t>سلطة زبادي خيار</t>
        </is>
      </c>
      <c r="C205" t="n">
        <v>3.95</v>
      </c>
      <c r="D205" t="n">
        <v>-1.92</v>
      </c>
      <c r="E205" t="n">
        <v>-5.87</v>
      </c>
      <c r="F205" t="inlineStr">
        <is>
          <t>-84.4%</t>
        </is>
      </c>
      <c r="G205" t="inlineStr">
        <is>
          <t>🔴 أحمر</t>
        </is>
      </c>
      <c r="H205" t="n">
        <v>2.14</v>
      </c>
      <c r="I205" t="n">
        <v>-8.01</v>
      </c>
      <c r="J205" t="inlineStr">
        <is>
          <t>-32%</t>
        </is>
      </c>
    </row>
    <row r="206">
      <c r="A206" t="n">
        <v>45</v>
      </c>
      <c r="B206" t="inlineStr">
        <is>
          <t>زبادي</t>
        </is>
      </c>
      <c r="C206" t="n">
        <v>2.83</v>
      </c>
      <c r="D206" t="n">
        <v>-4.72</v>
      </c>
      <c r="E206" t="n">
        <v>-7.55</v>
      </c>
      <c r="F206" t="inlineStr">
        <is>
          <t>-241.2%</t>
        </is>
      </c>
      <c r="G206" t="inlineStr">
        <is>
          <t>🔴 أحمر</t>
        </is>
      </c>
      <c r="H206" t="n">
        <v>-0.23</v>
      </c>
      <c r="I206" t="n">
        <v>-7.32</v>
      </c>
      <c r="J206" t="inlineStr">
        <is>
          <t>-181%</t>
        </is>
      </c>
    </row>
    <row r="207">
      <c r="A207" t="n">
        <v>46</v>
      </c>
      <c r="B207" t="inlineStr">
        <is>
          <t>بسباس</t>
        </is>
      </c>
      <c r="C207" t="n">
        <v>4.78</v>
      </c>
      <c r="D207" t="n">
        <v>0.61</v>
      </c>
      <c r="E207" t="n">
        <v>-4.17</v>
      </c>
      <c r="F207" t="inlineStr">
        <is>
          <t>-39.9%</t>
        </is>
      </c>
      <c r="G207" t="inlineStr">
        <is>
          <t>🔴 أحمر</t>
        </is>
      </c>
      <c r="H207" t="n">
        <v>3.91</v>
      </c>
      <c r="I207" t="n">
        <v>-8.08</v>
      </c>
      <c r="J207" t="inlineStr">
        <is>
          <t>7%</t>
        </is>
      </c>
    </row>
    <row r="208">
      <c r="A208" t="n">
        <v>47</v>
      </c>
      <c r="B208" t="inlineStr">
        <is>
          <t>سحاوق</t>
        </is>
      </c>
      <c r="C208" t="n">
        <v>3.95</v>
      </c>
      <c r="D208" t="n">
        <v>-1.92</v>
      </c>
      <c r="E208" t="n">
        <v>-5.87</v>
      </c>
      <c r="F208" t="inlineStr">
        <is>
          <t>-84.4%</t>
        </is>
      </c>
      <c r="G208" t="inlineStr">
        <is>
          <t>🔴 أحمر</t>
        </is>
      </c>
      <c r="H208" t="n">
        <v>2.14</v>
      </c>
      <c r="I208" t="n">
        <v>-8.01</v>
      </c>
      <c r="J208" t="inlineStr">
        <is>
          <t>-32%</t>
        </is>
      </c>
    </row>
    <row r="209">
      <c r="A209" t="n">
        <v>48</v>
      </c>
      <c r="B209" t="inlineStr">
        <is>
          <t>حبحب</t>
        </is>
      </c>
      <c r="C209" t="n">
        <v>3.95</v>
      </c>
      <c r="D209" t="n">
        <v>-1.92</v>
      </c>
      <c r="E209" t="n">
        <v>-5.87</v>
      </c>
      <c r="F209" t="inlineStr">
        <is>
          <t>-84.4%</t>
        </is>
      </c>
      <c r="G209" t="inlineStr">
        <is>
          <t>🔴 أحمر</t>
        </is>
      </c>
      <c r="H209" t="n">
        <v>2.14</v>
      </c>
      <c r="I209" t="n">
        <v>-8.01</v>
      </c>
      <c r="J209" t="inlineStr">
        <is>
          <t>-32%</t>
        </is>
      </c>
    </row>
    <row r="210">
      <c r="A210" t="n">
        <v>49</v>
      </c>
      <c r="B210" t="inlineStr">
        <is>
          <t>زبادي مصلح</t>
        </is>
      </c>
      <c r="C210" t="n">
        <v>3.95</v>
      </c>
      <c r="D210" t="n">
        <v>-1.92</v>
      </c>
      <c r="E210" t="n">
        <v>-5.87</v>
      </c>
      <c r="F210" t="inlineStr">
        <is>
          <t>-84.4%</t>
        </is>
      </c>
      <c r="G210" t="inlineStr">
        <is>
          <t>🔴 أحمر</t>
        </is>
      </c>
      <c r="H210" t="n">
        <v>2.14</v>
      </c>
      <c r="I210" t="n">
        <v>-8.01</v>
      </c>
      <c r="J210" t="inlineStr">
        <is>
          <t>-32%</t>
        </is>
      </c>
    </row>
    <row r="211">
      <c r="A211" t="n">
        <v>50</v>
      </c>
      <c r="B211" t="inlineStr">
        <is>
          <t>دقيق</t>
        </is>
      </c>
      <c r="C211" t="n">
        <v>3.95</v>
      </c>
      <c r="D211" t="n">
        <v>-1.92</v>
      </c>
      <c r="E211" t="n">
        <v>-5.87</v>
      </c>
      <c r="F211" t="inlineStr">
        <is>
          <t>-84.4%</t>
        </is>
      </c>
      <c r="G211" t="inlineStr">
        <is>
          <t>🔴 أحمر</t>
        </is>
      </c>
      <c r="H211" t="n">
        <v>2.14</v>
      </c>
      <c r="I211" t="n">
        <v>-8.01</v>
      </c>
      <c r="J211" t="inlineStr">
        <is>
          <t>-32%</t>
        </is>
      </c>
    </row>
    <row r="212">
      <c r="A212" t="n">
        <v>51</v>
      </c>
      <c r="B212" t="inlineStr">
        <is>
          <t>خمير</t>
        </is>
      </c>
      <c r="C212" t="n">
        <v>3.95</v>
      </c>
      <c r="D212" t="n">
        <v>-1.92</v>
      </c>
      <c r="E212" t="n">
        <v>-5.87</v>
      </c>
      <c r="F212" t="inlineStr">
        <is>
          <t>-84.4%</t>
        </is>
      </c>
      <c r="G212" t="inlineStr">
        <is>
          <t>🔴 أحمر</t>
        </is>
      </c>
      <c r="H212" t="n">
        <v>2.14</v>
      </c>
      <c r="I212" t="n">
        <v>-8.01</v>
      </c>
      <c r="J212" t="inlineStr">
        <is>
          <t>-32%</t>
        </is>
      </c>
    </row>
    <row r="213">
      <c r="A213" t="n">
        <v>52</v>
      </c>
      <c r="B213" t="inlineStr">
        <is>
          <t>بيبسي</t>
        </is>
      </c>
      <c r="C213" t="n">
        <v>3.11</v>
      </c>
      <c r="D213" t="n">
        <v>-4.46</v>
      </c>
      <c r="E213" t="n">
        <v>-7.57</v>
      </c>
      <c r="F213" t="inlineStr">
        <is>
          <t>-217.8%</t>
        </is>
      </c>
      <c r="G213" t="inlineStr">
        <is>
          <t>🔴 أحمر</t>
        </is>
      </c>
      <c r="H213" t="n">
        <v>0.37</v>
      </c>
      <c r="I213" t="n">
        <v>-7.94</v>
      </c>
      <c r="J213" t="inlineStr">
        <is>
          <t>-128%</t>
        </is>
      </c>
    </row>
    <row r="214">
      <c r="A214" t="n">
        <v>53</v>
      </c>
      <c r="B214" t="inlineStr">
        <is>
          <t>حمضيات</t>
        </is>
      </c>
      <c r="C214" t="n">
        <v>2.7</v>
      </c>
      <c r="D214" t="n">
        <v>-4.46</v>
      </c>
      <c r="E214" t="n">
        <v>-7.16</v>
      </c>
      <c r="F214" t="inlineStr">
        <is>
          <t>-205.8%</t>
        </is>
      </c>
      <c r="G214" t="inlineStr">
        <is>
          <t>🔴 أحمر</t>
        </is>
      </c>
      <c r="H214" t="n">
        <v>-0.52</v>
      </c>
      <c r="I214" t="n">
        <v>-6.64</v>
      </c>
      <c r="J214" t="inlineStr">
        <is>
          <t>-205%</t>
        </is>
      </c>
    </row>
    <row r="215">
      <c r="A215" t="n">
        <v>54</v>
      </c>
      <c r="B215" t="inlineStr">
        <is>
          <t>سفن اب</t>
        </is>
      </c>
      <c r="C215" t="n">
        <v>2.7</v>
      </c>
      <c r="D215" t="n">
        <v>-4.46</v>
      </c>
      <c r="E215" t="n">
        <v>-7.16</v>
      </c>
      <c r="F215" t="inlineStr">
        <is>
          <t>-205.8%</t>
        </is>
      </c>
      <c r="G215" t="inlineStr">
        <is>
          <t>🔴 أحمر</t>
        </is>
      </c>
      <c r="H215" t="n">
        <v>-0.52</v>
      </c>
      <c r="I215" t="n">
        <v>-6.64</v>
      </c>
      <c r="J215" t="inlineStr">
        <is>
          <t>-205%</t>
        </is>
      </c>
    </row>
    <row r="216">
      <c r="A216" t="n">
        <v>55</v>
      </c>
      <c r="B216" t="inlineStr">
        <is>
          <t>لبن المراعى</t>
        </is>
      </c>
      <c r="C216" t="n">
        <v>2.83</v>
      </c>
      <c r="D216" t="n">
        <v>-5.1</v>
      </c>
      <c r="E216" t="n">
        <v>-7.93</v>
      </c>
      <c r="F216" t="inlineStr">
        <is>
          <t>-304.0%</t>
        </is>
      </c>
      <c r="G216" t="inlineStr">
        <is>
          <t>🔴 أحمر</t>
        </is>
      </c>
      <c r="H216" t="n">
        <v>-0.23</v>
      </c>
      <c r="I216" t="n">
        <v>-7.71</v>
      </c>
      <c r="J216" t="inlineStr">
        <is>
          <t>-195%</t>
        </is>
      </c>
    </row>
    <row r="217">
      <c r="A217" t="n">
        <v>56</v>
      </c>
      <c r="B217" t="inlineStr">
        <is>
          <t>ماء</t>
        </is>
      </c>
      <c r="C217" t="n">
        <v>2.56</v>
      </c>
      <c r="D217" t="n">
        <v>-5.73</v>
      </c>
      <c r="E217" t="n">
        <v>-8.289999999999999</v>
      </c>
      <c r="F217" t="inlineStr">
        <is>
          <t>-476.5%</t>
        </is>
      </c>
      <c r="G217" t="inlineStr">
        <is>
          <t>🔴 أحمر</t>
        </is>
      </c>
      <c r="H217" t="n">
        <v>-0.82</v>
      </c>
      <c r="I217" t="n">
        <v>-7.47</v>
      </c>
      <c r="J217" t="inlineStr">
        <is>
          <t>-330%</t>
        </is>
      </c>
    </row>
    <row r="219">
      <c r="A219" s="6" t="inlineStr">
        <is>
          <t>3) هل زيادة 20% كافية؟</t>
        </is>
      </c>
    </row>
    <row r="221">
      <c r="A221" s="6" t="inlineStr">
        <is>
          <t>3-أ) نسبة الخصم الفعلية</t>
        </is>
      </c>
    </row>
    <row r="222">
      <c r="A222" t="inlineStr">
        <is>
          <t>البيان</t>
        </is>
      </c>
      <c r="B222" t="inlineStr">
        <is>
          <t>من كل 100 ريال يدفعها العميل</t>
        </is>
      </c>
      <c r="C222" t="inlineStr">
        <is>
          <t>كنسبة من مبيعاتك بدون ضريبة</t>
        </is>
      </c>
    </row>
    <row r="223">
      <c r="A223" t="inlineStr">
        <is>
          <t>ضريبة القيمة المضافة (تذهب للهيئة، ليست إيراداً)</t>
        </is>
      </c>
      <c r="B223" t="n">
        <v>13.04</v>
      </c>
      <c r="C223" t="inlineStr">
        <is>
          <t>—</t>
        </is>
      </c>
    </row>
    <row r="224">
      <c r="A224" t="inlineStr">
        <is>
          <t>عمولة 21%</t>
        </is>
      </c>
      <c r="B224" t="n">
        <v>21</v>
      </c>
      <c r="C224" t="inlineStr">
        <is>
          <t>24.15%</t>
        </is>
      </c>
    </row>
    <row r="225">
      <c r="A225" t="inlineStr">
        <is>
          <t>دفع إلكتروني 2.5%</t>
        </is>
      </c>
      <c r="B225" t="n">
        <v>2.5</v>
      </c>
      <c r="C225" t="inlineStr">
        <is>
          <t>2.88%</t>
        </is>
      </c>
    </row>
    <row r="226">
      <c r="A226" t="inlineStr">
        <is>
          <t>**إجمالي النسب المئوية**</t>
        </is>
      </c>
      <c r="B226" t="inlineStr">
        <is>
          <t>**23.50** (+13.04 ضريبة)</t>
        </is>
      </c>
      <c r="C226" t="inlineStr">
        <is>
          <t>**27.02%**</t>
        </is>
      </c>
    </row>
    <row r="227">
      <c r="A227" t="inlineStr">
        <is>
          <t>المتبقي قبل التوصيل</t>
        </is>
      </c>
      <c r="B227" t="inlineStr">
        <is>
          <t>**63.46**</t>
        </is>
      </c>
      <c r="C227" t="inlineStr">
        <is>
          <t>72.98%</t>
        </is>
      </c>
    </row>
    <row r="228">
      <c r="A228" t="inlineStr">
        <is>
          <t>في البيع المباشر يبقى</t>
        </is>
      </c>
      <c r="B228" t="n">
        <v>86.95999999999999</v>
      </c>
      <c r="C228" t="inlineStr">
        <is>
          <t>100%</t>
        </is>
      </c>
    </row>
    <row r="230">
      <c r="A230" s="6" t="inlineStr">
        <is>
          <t>3-ب) جدول السلال عند زيادتك الحالية +20% (قيمة السلة = ما يدفعه العميل في هنقرستيشن)</t>
        </is>
      </c>
    </row>
    <row r="231">
      <c r="A231" t="inlineStr">
        <is>
          <t>سلة HS</t>
        </is>
      </c>
      <c r="B231" t="inlineStr">
        <is>
          <t>القيمة الأصلية (مباشر)</t>
        </is>
      </c>
      <c r="C231" t="inlineStr">
        <is>
          <t>ضريبة</t>
        </is>
      </c>
      <c r="D231" t="inlineStr">
        <is>
          <t>عمولة+دفع</t>
        </is>
      </c>
      <c r="E231" t="inlineStr">
        <is>
          <t>توصيل</t>
        </is>
      </c>
      <c r="F231" t="inlineStr">
        <is>
          <t>إجمالي الخصومات</t>
        </is>
      </c>
      <c r="G231" t="inlineStr">
        <is>
          <t>مع HPlus</t>
        </is>
      </c>
      <c r="H231" t="inlineStr">
        <is>
          <t>الصافي</t>
        </is>
      </c>
      <c r="I231" t="inlineStr">
        <is>
          <t>الصافي HPlus</t>
        </is>
      </c>
      <c r="J231" t="inlineStr">
        <is>
          <t>يتبقى من كل 100 ريال</t>
        </is>
      </c>
      <c r="K231" t="inlineStr">
        <is>
          <t>يتبقى HPlus</t>
        </is>
      </c>
      <c r="L231" t="inlineStr">
        <is>
          <t>خصم فعلي % من السلة</t>
        </is>
      </c>
      <c r="M231" t="inlineStr">
        <is>
          <t>خصم فعلي % من مبيعات بدون ضريبة</t>
        </is>
      </c>
      <c r="N231" t="inlineStr">
        <is>
          <t>الصافي ÷ مباشر</t>
        </is>
      </c>
      <c r="O231" t="inlineStr">
        <is>
          <t>الصافي HPlus ÷ مباشر</t>
        </is>
      </c>
    </row>
    <row r="232">
      <c r="A232" t="n">
        <v>30</v>
      </c>
      <c r="B232" t="n">
        <v>25</v>
      </c>
      <c r="C232" t="n">
        <v>3.91</v>
      </c>
      <c r="D232" t="n">
        <v>7.05</v>
      </c>
      <c r="E232" t="n">
        <v>7</v>
      </c>
      <c r="F232" t="n">
        <v>14.05</v>
      </c>
      <c r="G232" t="n">
        <v>18.05</v>
      </c>
      <c r="H232" t="n">
        <v>12.04</v>
      </c>
      <c r="I232" t="n">
        <v>8.039999999999999</v>
      </c>
      <c r="J232" t="n">
        <v>40.1</v>
      </c>
      <c r="K232" t="n">
        <v>26.8</v>
      </c>
      <c r="L232" t="inlineStr">
        <is>
          <t>46.8%</t>
        </is>
      </c>
      <c r="M232" t="inlineStr">
        <is>
          <t>53.9%</t>
        </is>
      </c>
      <c r="N232" t="inlineStr">
        <is>
          <t>55.4%</t>
        </is>
      </c>
      <c r="O232" t="inlineStr">
        <is>
          <t>37.0%</t>
        </is>
      </c>
    </row>
    <row r="233">
      <c r="A233" t="n">
        <v>40</v>
      </c>
      <c r="B233" t="n">
        <v>33.33</v>
      </c>
      <c r="C233" t="n">
        <v>5.22</v>
      </c>
      <c r="D233" t="n">
        <v>9.4</v>
      </c>
      <c r="E233" t="n">
        <v>8</v>
      </c>
      <c r="F233" t="n">
        <v>17.4</v>
      </c>
      <c r="G233" t="n">
        <v>21.4</v>
      </c>
      <c r="H233" t="n">
        <v>17.38</v>
      </c>
      <c r="I233" t="n">
        <v>13.38</v>
      </c>
      <c r="J233" t="n">
        <v>43.5</v>
      </c>
      <c r="K233" t="n">
        <v>33.5</v>
      </c>
      <c r="L233" t="inlineStr">
        <is>
          <t>43.5%</t>
        </is>
      </c>
      <c r="M233" t="inlineStr">
        <is>
          <t>50.0%</t>
        </is>
      </c>
      <c r="N233" t="inlineStr">
        <is>
          <t>60.0%</t>
        </is>
      </c>
      <c r="O233" t="inlineStr">
        <is>
          <t>46.2%</t>
        </is>
      </c>
    </row>
    <row r="234">
      <c r="A234" t="n">
        <v>50</v>
      </c>
      <c r="B234" t="n">
        <v>41.67</v>
      </c>
      <c r="C234" t="n">
        <v>6.52</v>
      </c>
      <c r="D234" t="n">
        <v>11.75</v>
      </c>
      <c r="E234" t="n">
        <v>9</v>
      </c>
      <c r="F234" t="n">
        <v>20.75</v>
      </c>
      <c r="G234" t="n">
        <v>24.75</v>
      </c>
      <c r="H234" t="n">
        <v>22.73</v>
      </c>
      <c r="I234" t="n">
        <v>18.73</v>
      </c>
      <c r="J234" t="n">
        <v>45.5</v>
      </c>
      <c r="K234" t="n">
        <v>37.5</v>
      </c>
      <c r="L234" t="inlineStr">
        <is>
          <t>41.5%</t>
        </is>
      </c>
      <c r="M234" t="inlineStr">
        <is>
          <t>47.7%</t>
        </is>
      </c>
      <c r="N234" t="inlineStr">
        <is>
          <t>62.7%</t>
        </is>
      </c>
      <c r="O234" t="inlineStr">
        <is>
          <t>51.7%</t>
        </is>
      </c>
    </row>
    <row r="235">
      <c r="A235" t="n">
        <v>60</v>
      </c>
      <c r="B235" t="n">
        <v>50</v>
      </c>
      <c r="C235" t="n">
        <v>7.83</v>
      </c>
      <c r="D235" t="n">
        <v>14.1</v>
      </c>
      <c r="E235" t="n">
        <v>11</v>
      </c>
      <c r="F235" t="n">
        <v>25.1</v>
      </c>
      <c r="G235" t="n">
        <v>29.1</v>
      </c>
      <c r="H235" t="n">
        <v>27.07</v>
      </c>
      <c r="I235" t="n">
        <v>23.07</v>
      </c>
      <c r="J235" t="n">
        <v>45.1</v>
      </c>
      <c r="K235" t="n">
        <v>38.5</v>
      </c>
      <c r="L235" t="inlineStr">
        <is>
          <t>41.8%</t>
        </is>
      </c>
      <c r="M235" t="inlineStr">
        <is>
          <t>48.1%</t>
        </is>
      </c>
      <c r="N235" t="inlineStr">
        <is>
          <t>62.3%</t>
        </is>
      </c>
      <c r="O235" t="inlineStr">
        <is>
          <t>53.1%</t>
        </is>
      </c>
    </row>
    <row r="236">
      <c r="A236" t="n">
        <v>80</v>
      </c>
      <c r="B236" t="n">
        <v>66.67</v>
      </c>
      <c r="C236" t="n">
        <v>10.43</v>
      </c>
      <c r="D236" t="n">
        <v>18.8</v>
      </c>
      <c r="E236" t="n">
        <v>13</v>
      </c>
      <c r="F236" t="n">
        <v>31.8</v>
      </c>
      <c r="G236" t="n">
        <v>35.8</v>
      </c>
      <c r="H236" t="n">
        <v>37.77</v>
      </c>
      <c r="I236" t="n">
        <v>33.77</v>
      </c>
      <c r="J236" t="n">
        <v>47.2</v>
      </c>
      <c r="K236" t="n">
        <v>42.2</v>
      </c>
      <c r="L236" t="inlineStr">
        <is>
          <t>39.8%</t>
        </is>
      </c>
      <c r="M236" t="inlineStr">
        <is>
          <t>45.7%</t>
        </is>
      </c>
      <c r="N236" t="inlineStr">
        <is>
          <t>65.1%</t>
        </is>
      </c>
      <c r="O236" t="inlineStr">
        <is>
          <t>58.2%</t>
        </is>
      </c>
    </row>
    <row r="237">
      <c r="A237" t="n">
        <v>100</v>
      </c>
      <c r="B237" t="n">
        <v>83.33</v>
      </c>
      <c r="C237" t="n">
        <v>13.04</v>
      </c>
      <c r="D237" t="n">
        <v>23.5</v>
      </c>
      <c r="E237" t="n">
        <v>13</v>
      </c>
      <c r="F237" t="n">
        <v>36.5</v>
      </c>
      <c r="G237" t="n">
        <v>40.5</v>
      </c>
      <c r="H237" t="n">
        <v>50.46</v>
      </c>
      <c r="I237" t="n">
        <v>46.46</v>
      </c>
      <c r="J237" t="n">
        <v>50.5</v>
      </c>
      <c r="K237" t="n">
        <v>46.5</v>
      </c>
      <c r="L237" t="inlineStr">
        <is>
          <t>36.5%</t>
        </is>
      </c>
      <c r="M237" t="inlineStr">
        <is>
          <t>42.0%</t>
        </is>
      </c>
      <c r="N237" t="inlineStr">
        <is>
          <t>69.6%</t>
        </is>
      </c>
      <c r="O237" t="inlineStr">
        <is>
          <t>64.1%</t>
        </is>
      </c>
    </row>
    <row r="238">
      <c r="A238" t="n">
        <v>120</v>
      </c>
      <c r="B238" t="n">
        <v>100</v>
      </c>
      <c r="C238" t="n">
        <v>15.65</v>
      </c>
      <c r="D238" t="n">
        <v>28.2</v>
      </c>
      <c r="E238" t="n">
        <v>13</v>
      </c>
      <c r="F238" t="n">
        <v>41.2</v>
      </c>
      <c r="G238" t="n">
        <v>45.2</v>
      </c>
      <c r="H238" t="n">
        <v>63.15</v>
      </c>
      <c r="I238" t="n">
        <v>59.15</v>
      </c>
      <c r="J238" t="n">
        <v>52.6</v>
      </c>
      <c r="K238" t="n">
        <v>49.3</v>
      </c>
      <c r="L238" t="inlineStr">
        <is>
          <t>34.3%</t>
        </is>
      </c>
      <c r="M238" t="inlineStr">
        <is>
          <t>39.5%</t>
        </is>
      </c>
      <c r="N238" t="inlineStr">
        <is>
          <t>72.6%</t>
        </is>
      </c>
      <c r="O238" t="inlineStr">
        <is>
          <t>68.0%</t>
        </is>
      </c>
    </row>
    <row r="239">
      <c r="A239" t="n">
        <v>150</v>
      </c>
      <c r="B239" t="n">
        <v>125</v>
      </c>
      <c r="C239" t="n">
        <v>19.57</v>
      </c>
      <c r="D239" t="n">
        <v>35.25</v>
      </c>
      <c r="E239" t="n">
        <v>13</v>
      </c>
      <c r="F239" t="n">
        <v>48.25</v>
      </c>
      <c r="G239" t="n">
        <v>52.25</v>
      </c>
      <c r="H239" t="n">
        <v>82.18000000000001</v>
      </c>
      <c r="I239" t="n">
        <v>78.18000000000001</v>
      </c>
      <c r="J239" t="n">
        <v>54.8</v>
      </c>
      <c r="K239" t="n">
        <v>52.1</v>
      </c>
      <c r="L239" t="inlineStr">
        <is>
          <t>32.2%</t>
        </is>
      </c>
      <c r="M239" t="inlineStr">
        <is>
          <t>37.0%</t>
        </is>
      </c>
      <c r="N239" t="inlineStr">
        <is>
          <t>75.6%</t>
        </is>
      </c>
      <c r="O239" t="inlineStr">
        <is>
          <t>71.9%</t>
        </is>
      </c>
    </row>
    <row r="240">
      <c r="A240" t="n">
        <v>200</v>
      </c>
      <c r="B240" t="n">
        <v>166.67</v>
      </c>
      <c r="C240" t="n">
        <v>26.09</v>
      </c>
      <c r="D240" t="n">
        <v>47</v>
      </c>
      <c r="E240" t="n">
        <v>13</v>
      </c>
      <c r="F240" t="n">
        <v>60</v>
      </c>
      <c r="G240" t="n">
        <v>64</v>
      </c>
      <c r="H240" t="n">
        <v>113.91</v>
      </c>
      <c r="I240" t="n">
        <v>109.91</v>
      </c>
      <c r="J240" t="n">
        <v>57</v>
      </c>
      <c r="K240" t="n">
        <v>55</v>
      </c>
      <c r="L240" t="inlineStr">
        <is>
          <t>30.0%</t>
        </is>
      </c>
      <c r="M240" t="inlineStr">
        <is>
          <t>34.5%</t>
        </is>
      </c>
      <c r="N240" t="inlineStr">
        <is>
          <t>78.6%</t>
        </is>
      </c>
      <c r="O240" t="inlineStr">
        <is>
          <t>75.8%</t>
        </is>
      </c>
    </row>
    <row r="242">
      <c r="A242" s="6" t="inlineStr">
        <is>
          <t>3-جـ) مصفوفة: هل كل نسبة زيادة كافية؟ (الصافي كنسبة من إيراد البيع المباشر بدون ضريبة؛ ✔ ≥100% = كافية، ✖ = غير كافية)</t>
        </is>
      </c>
    </row>
    <row r="243">
      <c r="A243" t="inlineStr">
        <is>
          <t>الطلب المباشر</t>
        </is>
      </c>
      <c r="B243" t="inlineStr">
        <is>
          <t>+10%</t>
        </is>
      </c>
      <c r="C243" t="inlineStr">
        <is>
          <t>+15%</t>
        </is>
      </c>
      <c r="D243" t="inlineStr">
        <is>
          <t>+20%</t>
        </is>
      </c>
      <c r="E243" t="inlineStr">
        <is>
          <t>+25%</t>
        </is>
      </c>
      <c r="F243" t="inlineStr">
        <is>
          <t>+30%</t>
        </is>
      </c>
      <c r="G243" t="inlineStr">
        <is>
          <t>+35%</t>
        </is>
      </c>
      <c r="H243" t="inlineStr">
        <is>
          <t>+40%</t>
        </is>
      </c>
    </row>
    <row r="244">
      <c r="A244" t="n">
        <v>30</v>
      </c>
      <c r="B244" t="inlineStr">
        <is>
          <t>53% ✖</t>
        </is>
      </c>
      <c r="C244" t="inlineStr">
        <is>
          <t>57% ✖</t>
        </is>
      </c>
      <c r="D244" t="inlineStr">
        <is>
          <t>61% ✖</t>
        </is>
      </c>
      <c r="E244" t="inlineStr">
        <is>
          <t>64% ✖</t>
        </is>
      </c>
      <c r="F244" t="inlineStr">
        <is>
          <t>68% ✖</t>
        </is>
      </c>
      <c r="G244" t="inlineStr">
        <is>
          <t>68% ✖</t>
        </is>
      </c>
      <c r="H244" t="inlineStr">
        <is>
          <t>71% ✖</t>
        </is>
      </c>
    </row>
    <row r="245">
      <c r="A245" t="n">
        <v>40</v>
      </c>
      <c r="B245" t="inlineStr">
        <is>
          <t>57% ✖</t>
        </is>
      </c>
      <c r="C245" t="inlineStr">
        <is>
          <t>61% ✖</t>
        </is>
      </c>
      <c r="D245" t="inlineStr">
        <is>
          <t>65% ✖</t>
        </is>
      </c>
      <c r="E245" t="inlineStr">
        <is>
          <t>65% ✖</t>
        </is>
      </c>
      <c r="F245" t="inlineStr">
        <is>
          <t>69% ✖</t>
        </is>
      </c>
      <c r="G245" t="inlineStr">
        <is>
          <t>73% ✖</t>
        </is>
      </c>
      <c r="H245" t="inlineStr">
        <is>
          <t>76% ✖</t>
        </is>
      </c>
    </row>
    <row r="246">
      <c r="A246" t="n">
        <v>50</v>
      </c>
      <c r="B246" t="inlineStr">
        <is>
          <t>60% ✖</t>
        </is>
      </c>
      <c r="C246" t="inlineStr">
        <is>
          <t>63% ✖</t>
        </is>
      </c>
      <c r="D246" t="inlineStr">
        <is>
          <t>62% ✖</t>
        </is>
      </c>
      <c r="E246" t="inlineStr">
        <is>
          <t>66% ✖</t>
        </is>
      </c>
      <c r="F246" t="inlineStr">
        <is>
          <t>70% ✖</t>
        </is>
      </c>
      <c r="G246" t="inlineStr">
        <is>
          <t>73% ✖</t>
        </is>
      </c>
      <c r="H246" t="inlineStr">
        <is>
          <t>77% ✖</t>
        </is>
      </c>
    </row>
    <row r="247">
      <c r="A247" t="n">
        <v>60</v>
      </c>
      <c r="B247" t="inlineStr">
        <is>
          <t>59% ✖</t>
        </is>
      </c>
      <c r="C247" t="inlineStr">
        <is>
          <t>63% ✖</t>
        </is>
      </c>
      <c r="D247" t="inlineStr">
        <is>
          <t>66% ✖</t>
        </is>
      </c>
      <c r="E247" t="inlineStr">
        <is>
          <t>70% ✖</t>
        </is>
      </c>
      <c r="F247" t="inlineStr">
        <is>
          <t>74% ✖</t>
        </is>
      </c>
      <c r="G247" t="inlineStr">
        <is>
          <t>74% ✖</t>
        </is>
      </c>
      <c r="H247" t="inlineStr">
        <is>
          <t>77% ✖</t>
        </is>
      </c>
    </row>
    <row r="248">
      <c r="A248" t="n">
        <v>80</v>
      </c>
      <c r="B248" t="inlineStr">
        <is>
          <t>62% ✖</t>
        </is>
      </c>
      <c r="C248" t="inlineStr">
        <is>
          <t>65% ✖</t>
        </is>
      </c>
      <c r="D248" t="inlineStr">
        <is>
          <t>69% ✖</t>
        </is>
      </c>
      <c r="E248" t="inlineStr">
        <is>
          <t>73% ✖</t>
        </is>
      </c>
      <c r="F248" t="inlineStr">
        <is>
          <t>76% ✖</t>
        </is>
      </c>
      <c r="G248" t="inlineStr">
        <is>
          <t>80% ✖</t>
        </is>
      </c>
      <c r="H248" t="inlineStr">
        <is>
          <t>83% ✖</t>
        </is>
      </c>
    </row>
    <row r="249">
      <c r="A249" t="n">
        <v>100</v>
      </c>
      <c r="B249" t="inlineStr">
        <is>
          <t>65% ✖</t>
        </is>
      </c>
      <c r="C249" t="inlineStr">
        <is>
          <t>69% ✖</t>
        </is>
      </c>
      <c r="D249" t="inlineStr">
        <is>
          <t>73% ✖</t>
        </is>
      </c>
      <c r="E249" t="inlineStr">
        <is>
          <t>76% ✖</t>
        </is>
      </c>
      <c r="F249" t="inlineStr">
        <is>
          <t>80% ✖</t>
        </is>
      </c>
      <c r="G249" t="inlineStr">
        <is>
          <t>84% ✖</t>
        </is>
      </c>
      <c r="H249" t="inlineStr">
        <is>
          <t>87% ✖</t>
        </is>
      </c>
    </row>
    <row r="250">
      <c r="A250" t="n">
        <v>120</v>
      </c>
      <c r="B250" t="inlineStr">
        <is>
          <t>68% ✖</t>
        </is>
      </c>
      <c r="C250" t="inlineStr">
        <is>
          <t>71% ✖</t>
        </is>
      </c>
      <c r="D250" t="inlineStr">
        <is>
          <t>75% ✖</t>
        </is>
      </c>
      <c r="E250" t="inlineStr">
        <is>
          <t>79% ✖</t>
        </is>
      </c>
      <c r="F250" t="inlineStr">
        <is>
          <t>82% ✖</t>
        </is>
      </c>
      <c r="G250" t="inlineStr">
        <is>
          <t>86% ✖</t>
        </is>
      </c>
      <c r="H250" t="inlineStr">
        <is>
          <t>90% ✖</t>
        </is>
      </c>
    </row>
    <row r="251">
      <c r="A251" t="n">
        <v>150</v>
      </c>
      <c r="B251" t="inlineStr">
        <is>
          <t>70% ✖</t>
        </is>
      </c>
      <c r="C251" t="inlineStr">
        <is>
          <t>74% ✖</t>
        </is>
      </c>
      <c r="D251" t="inlineStr">
        <is>
          <t>78% ✖</t>
        </is>
      </c>
      <c r="E251" t="inlineStr">
        <is>
          <t>81% ✖</t>
        </is>
      </c>
      <c r="F251" t="inlineStr">
        <is>
          <t>85% ✖</t>
        </is>
      </c>
      <c r="G251" t="inlineStr">
        <is>
          <t>89% ✖</t>
        </is>
      </c>
      <c r="H251" t="inlineStr">
        <is>
          <t>92% ✖</t>
        </is>
      </c>
    </row>
    <row r="252">
      <c r="A252" t="n">
        <v>200</v>
      </c>
      <c r="B252" t="inlineStr">
        <is>
          <t>73% ✖</t>
        </is>
      </c>
      <c r="C252" t="inlineStr">
        <is>
          <t>76% ✖</t>
        </is>
      </c>
      <c r="D252" t="inlineStr">
        <is>
          <t>80% ✖</t>
        </is>
      </c>
      <c r="E252" t="inlineStr">
        <is>
          <t>84% ✖</t>
        </is>
      </c>
      <c r="F252" t="inlineStr">
        <is>
          <t>87% ✖</t>
        </is>
      </c>
      <c r="G252" t="inlineStr">
        <is>
          <t>91% ✖</t>
        </is>
      </c>
      <c r="H252" t="inlineStr">
        <is>
          <t>95% ✖</t>
        </is>
      </c>
    </row>
    <row r="253">
      <c r="A253" t="inlineStr">
        <is>
          <t>الطلب المباشر</t>
        </is>
      </c>
      <c r="B253" t="inlineStr">
        <is>
          <t>+10%</t>
        </is>
      </c>
      <c r="C253" t="inlineStr">
        <is>
          <t>+15%</t>
        </is>
      </c>
      <c r="D253" t="inlineStr">
        <is>
          <t>+20%</t>
        </is>
      </c>
      <c r="E253" t="inlineStr">
        <is>
          <t>+25%</t>
        </is>
      </c>
      <c r="F253" t="inlineStr">
        <is>
          <t>+30%</t>
        </is>
      </c>
      <c r="G253" t="inlineStr">
        <is>
          <t>+35%</t>
        </is>
      </c>
      <c r="H253" t="inlineStr">
        <is>
          <t>+40%</t>
        </is>
      </c>
    </row>
    <row r="254">
      <c r="A254" t="n">
        <v>30</v>
      </c>
      <c r="B254" t="inlineStr">
        <is>
          <t>38% ✖</t>
        </is>
      </c>
      <c r="C254" t="inlineStr">
        <is>
          <t>42% ✖</t>
        </is>
      </c>
      <c r="D254" t="inlineStr">
        <is>
          <t>45% ✖</t>
        </is>
      </c>
      <c r="E254" t="inlineStr">
        <is>
          <t>49% ✖</t>
        </is>
      </c>
      <c r="F254" t="inlineStr">
        <is>
          <t>53% ✖</t>
        </is>
      </c>
      <c r="G254" t="inlineStr">
        <is>
          <t>53% ✖</t>
        </is>
      </c>
      <c r="H254" t="inlineStr">
        <is>
          <t>56% ✖</t>
        </is>
      </c>
    </row>
    <row r="255">
      <c r="A255" t="n">
        <v>40</v>
      </c>
      <c r="B255" t="inlineStr">
        <is>
          <t>46% ✖</t>
        </is>
      </c>
      <c r="C255" t="inlineStr">
        <is>
          <t>49% ✖</t>
        </is>
      </c>
      <c r="D255" t="inlineStr">
        <is>
          <t>53% ✖</t>
        </is>
      </c>
      <c r="E255" t="inlineStr">
        <is>
          <t>54% ✖</t>
        </is>
      </c>
      <c r="F255" t="inlineStr">
        <is>
          <t>57% ✖</t>
        </is>
      </c>
      <c r="G255" t="inlineStr">
        <is>
          <t>61% ✖</t>
        </is>
      </c>
      <c r="H255" t="inlineStr">
        <is>
          <t>65% ✖</t>
        </is>
      </c>
    </row>
    <row r="256">
      <c r="A256" t="n">
        <v>50</v>
      </c>
      <c r="B256" t="inlineStr">
        <is>
          <t>50% ✖</t>
        </is>
      </c>
      <c r="C256" t="inlineStr">
        <is>
          <t>54% ✖</t>
        </is>
      </c>
      <c r="D256" t="inlineStr">
        <is>
          <t>53% ✖</t>
        </is>
      </c>
      <c r="E256" t="inlineStr">
        <is>
          <t>57% ✖</t>
        </is>
      </c>
      <c r="F256" t="inlineStr">
        <is>
          <t>60% ✖</t>
        </is>
      </c>
      <c r="G256" t="inlineStr">
        <is>
          <t>64% ✖</t>
        </is>
      </c>
      <c r="H256" t="inlineStr">
        <is>
          <t>68% ✖</t>
        </is>
      </c>
    </row>
    <row r="257">
      <c r="A257" t="n">
        <v>60</v>
      </c>
      <c r="B257" t="inlineStr">
        <is>
          <t>52% ✖</t>
        </is>
      </c>
      <c r="C257" t="inlineStr">
        <is>
          <t>55% ✖</t>
        </is>
      </c>
      <c r="D257" t="inlineStr">
        <is>
          <t>59% ✖</t>
        </is>
      </c>
      <c r="E257" t="inlineStr">
        <is>
          <t>62% ✖</t>
        </is>
      </c>
      <c r="F257" t="inlineStr">
        <is>
          <t>66% ✖</t>
        </is>
      </c>
      <c r="G257" t="inlineStr">
        <is>
          <t>66% ✖</t>
        </is>
      </c>
      <c r="H257" t="inlineStr">
        <is>
          <t>70% ✖</t>
        </is>
      </c>
    </row>
    <row r="258">
      <c r="A258" t="n">
        <v>80</v>
      </c>
      <c r="B258" t="inlineStr">
        <is>
          <t>56% ✖</t>
        </is>
      </c>
      <c r="C258" t="inlineStr">
        <is>
          <t>59% ✖</t>
        </is>
      </c>
      <c r="D258" t="inlineStr">
        <is>
          <t>63% ✖</t>
        </is>
      </c>
      <c r="E258" t="inlineStr">
        <is>
          <t>67% ✖</t>
        </is>
      </c>
      <c r="F258" t="inlineStr">
        <is>
          <t>70% ✖</t>
        </is>
      </c>
      <c r="G258" t="inlineStr">
        <is>
          <t>74% ✖</t>
        </is>
      </c>
      <c r="H258" t="inlineStr">
        <is>
          <t>78% ✖</t>
        </is>
      </c>
    </row>
    <row r="259">
      <c r="A259" t="n">
        <v>100</v>
      </c>
      <c r="B259" t="inlineStr">
        <is>
          <t>61% ✖</t>
        </is>
      </c>
      <c r="C259" t="inlineStr">
        <is>
          <t>64% ✖</t>
        </is>
      </c>
      <c r="D259" t="inlineStr">
        <is>
          <t>68% ✖</t>
        </is>
      </c>
      <c r="E259" t="inlineStr">
        <is>
          <t>72% ✖</t>
        </is>
      </c>
      <c r="F259" t="inlineStr">
        <is>
          <t>75% ✖</t>
        </is>
      </c>
      <c r="G259" t="inlineStr">
        <is>
          <t>79% ✖</t>
        </is>
      </c>
      <c r="H259" t="inlineStr">
        <is>
          <t>83% ✖</t>
        </is>
      </c>
    </row>
    <row r="260">
      <c r="A260" t="n">
        <v>120</v>
      </c>
      <c r="B260" t="inlineStr">
        <is>
          <t>64% ✖</t>
        </is>
      </c>
      <c r="C260" t="inlineStr">
        <is>
          <t>68% ✖</t>
        </is>
      </c>
      <c r="D260" t="inlineStr">
        <is>
          <t>71% ✖</t>
        </is>
      </c>
      <c r="E260" t="inlineStr">
        <is>
          <t>75% ✖</t>
        </is>
      </c>
      <c r="F260" t="inlineStr">
        <is>
          <t>79% ✖</t>
        </is>
      </c>
      <c r="G260" t="inlineStr">
        <is>
          <t>82% ✖</t>
        </is>
      </c>
      <c r="H260" t="inlineStr">
        <is>
          <t>86% ✖</t>
        </is>
      </c>
    </row>
    <row r="261">
      <c r="A261" t="n">
        <v>150</v>
      </c>
      <c r="B261" t="inlineStr">
        <is>
          <t>67% ✖</t>
        </is>
      </c>
      <c r="C261" t="inlineStr">
        <is>
          <t>71% ✖</t>
        </is>
      </c>
      <c r="D261" t="inlineStr">
        <is>
          <t>75% ✖</t>
        </is>
      </c>
      <c r="E261" t="inlineStr">
        <is>
          <t>78% ✖</t>
        </is>
      </c>
      <c r="F261" t="inlineStr">
        <is>
          <t>82% ✖</t>
        </is>
      </c>
      <c r="G261" t="inlineStr">
        <is>
          <t>85% ✖</t>
        </is>
      </c>
      <c r="H261" t="inlineStr">
        <is>
          <t>89% ✖</t>
        </is>
      </c>
    </row>
    <row r="262">
      <c r="A262" t="n">
        <v>200</v>
      </c>
      <c r="B262" t="inlineStr">
        <is>
          <t>70% ✖</t>
        </is>
      </c>
      <c r="C262" t="inlineStr">
        <is>
          <t>74% ✖</t>
        </is>
      </c>
      <c r="D262" t="inlineStr">
        <is>
          <t>78% ✖</t>
        </is>
      </c>
      <c r="E262" t="inlineStr">
        <is>
          <t>81% ✖</t>
        </is>
      </c>
      <c r="F262" t="inlineStr">
        <is>
          <t>85% ✖</t>
        </is>
      </c>
      <c r="G262" t="inlineStr">
        <is>
          <t>89% ✖</t>
        </is>
      </c>
      <c r="H262" t="inlineStr">
        <is>
          <t>92% ✖</t>
        </is>
      </c>
    </row>
    <row r="263">
      <c r="A263" t="inlineStr">
        <is>
          <t>الطلب المباشر</t>
        </is>
      </c>
      <c r="B263" t="inlineStr">
        <is>
          <t>+10%</t>
        </is>
      </c>
      <c r="C263" t="inlineStr">
        <is>
          <t>+15%</t>
        </is>
      </c>
      <c r="D263" t="inlineStr">
        <is>
          <t>+20%</t>
        </is>
      </c>
      <c r="E263" t="inlineStr">
        <is>
          <t>+25%</t>
        </is>
      </c>
      <c r="F263" t="inlineStr">
        <is>
          <t>+30%</t>
        </is>
      </c>
      <c r="G263" t="inlineStr">
        <is>
          <t>+35%</t>
        </is>
      </c>
      <c r="H263" t="inlineStr">
        <is>
          <t>+40%</t>
        </is>
      </c>
    </row>
    <row r="264">
      <c r="A264" t="n">
        <v>30</v>
      </c>
      <c r="B264" t="inlineStr">
        <is>
          <t>71% ✖</t>
        </is>
      </c>
      <c r="C264" t="inlineStr">
        <is>
          <t>74% ✖</t>
        </is>
      </c>
      <c r="D264" t="inlineStr">
        <is>
          <t>78% ✖</t>
        </is>
      </c>
      <c r="E264" t="inlineStr">
        <is>
          <t>82% ✖</t>
        </is>
      </c>
      <c r="F264" t="inlineStr">
        <is>
          <t>85% ✖</t>
        </is>
      </c>
      <c r="G264" t="inlineStr">
        <is>
          <t>89% ✖</t>
        </is>
      </c>
      <c r="H264" t="inlineStr">
        <is>
          <t>93% ✖</t>
        </is>
      </c>
    </row>
    <row r="265">
      <c r="A265" t="n">
        <v>40</v>
      </c>
      <c r="B265" t="inlineStr">
        <is>
          <t>73% ✖</t>
        </is>
      </c>
      <c r="C265" t="inlineStr">
        <is>
          <t>77% ✖</t>
        </is>
      </c>
      <c r="D265" t="inlineStr">
        <is>
          <t>80% ✖</t>
        </is>
      </c>
      <c r="E265" t="inlineStr">
        <is>
          <t>84% ✖</t>
        </is>
      </c>
      <c r="F265" t="inlineStr">
        <is>
          <t>88% ✖</t>
        </is>
      </c>
      <c r="G265" t="inlineStr">
        <is>
          <t>91% ✖</t>
        </is>
      </c>
      <c r="H265" t="inlineStr">
        <is>
          <t>95% ✖</t>
        </is>
      </c>
    </row>
    <row r="266">
      <c r="A266" t="n">
        <v>50</v>
      </c>
      <c r="B266" t="inlineStr">
        <is>
          <t>75% ✖</t>
        </is>
      </c>
      <c r="C266" t="inlineStr">
        <is>
          <t>78% ✖</t>
        </is>
      </c>
      <c r="D266" t="inlineStr">
        <is>
          <t>82% ✖</t>
        </is>
      </c>
      <c r="E266" t="inlineStr">
        <is>
          <t>85% ✖</t>
        </is>
      </c>
      <c r="F266" t="inlineStr">
        <is>
          <t>89% ✖</t>
        </is>
      </c>
      <c r="G266" t="inlineStr">
        <is>
          <t>93% ✖</t>
        </is>
      </c>
      <c r="H266" t="inlineStr">
        <is>
          <t>96% ✖</t>
        </is>
      </c>
    </row>
    <row r="267">
      <c r="A267" t="n">
        <v>60</v>
      </c>
      <c r="B267" t="inlineStr">
        <is>
          <t>75% ✖</t>
        </is>
      </c>
      <c r="C267" t="inlineStr">
        <is>
          <t>79% ✖</t>
        </is>
      </c>
      <c r="D267" t="inlineStr">
        <is>
          <t>83% ✖</t>
        </is>
      </c>
      <c r="E267" t="inlineStr">
        <is>
          <t>86% ✖</t>
        </is>
      </c>
      <c r="F267" t="inlineStr">
        <is>
          <t>90% ✖</t>
        </is>
      </c>
      <c r="G267" t="inlineStr">
        <is>
          <t>94% ✖</t>
        </is>
      </c>
      <c r="H267" t="inlineStr">
        <is>
          <t>97% ✖</t>
        </is>
      </c>
    </row>
    <row r="268">
      <c r="A268" t="n">
        <v>80</v>
      </c>
      <c r="B268" t="inlineStr">
        <is>
          <t>77% ✖</t>
        </is>
      </c>
      <c r="C268" t="inlineStr">
        <is>
          <t>80% ✖</t>
        </is>
      </c>
      <c r="D268" t="inlineStr">
        <is>
          <t>84% ✖</t>
        </is>
      </c>
      <c r="E268" t="inlineStr">
        <is>
          <t>88% ✖</t>
        </is>
      </c>
      <c r="F268" t="inlineStr">
        <is>
          <t>91% ✖</t>
        </is>
      </c>
      <c r="G268" t="inlineStr">
        <is>
          <t>95% ✖</t>
        </is>
      </c>
      <c r="H268" t="inlineStr">
        <is>
          <t>99% ✖</t>
        </is>
      </c>
    </row>
    <row r="269">
      <c r="A269" t="n">
        <v>100</v>
      </c>
      <c r="B269" t="inlineStr">
        <is>
          <t>77% ✖</t>
        </is>
      </c>
      <c r="C269" t="inlineStr">
        <is>
          <t>81% ✖</t>
        </is>
      </c>
      <c r="D269" t="inlineStr">
        <is>
          <t>85% ✖</t>
        </is>
      </c>
      <c r="E269" t="inlineStr">
        <is>
          <t>88% ✖</t>
        </is>
      </c>
      <c r="F269" t="inlineStr">
        <is>
          <t>92% ✖</t>
        </is>
      </c>
      <c r="G269" t="inlineStr">
        <is>
          <t>96% ✖</t>
        </is>
      </c>
      <c r="H269" t="inlineStr">
        <is>
          <t>99% ✖</t>
        </is>
      </c>
    </row>
    <row r="270">
      <c r="A270" t="n">
        <v>120</v>
      </c>
      <c r="B270" t="inlineStr">
        <is>
          <t>78% ✖</t>
        </is>
      </c>
      <c r="C270" t="inlineStr">
        <is>
          <t>82% ✖</t>
        </is>
      </c>
      <c r="D270" t="inlineStr">
        <is>
          <t>85% ✖</t>
        </is>
      </c>
      <c r="E270" t="inlineStr">
        <is>
          <t>89% ✖</t>
        </is>
      </c>
      <c r="F270" t="inlineStr">
        <is>
          <t>92% ✖</t>
        </is>
      </c>
      <c r="G270" t="inlineStr">
        <is>
          <t>96% ✖</t>
        </is>
      </c>
      <c r="H270" t="inlineStr">
        <is>
          <t>100% ✖</t>
        </is>
      </c>
    </row>
    <row r="271">
      <c r="A271" t="n">
        <v>150</v>
      </c>
      <c r="B271" t="inlineStr">
        <is>
          <t>78% ✖</t>
        </is>
      </c>
      <c r="C271" t="inlineStr">
        <is>
          <t>82% ✖</t>
        </is>
      </c>
      <c r="D271" t="inlineStr">
        <is>
          <t>86% ✖</t>
        </is>
      </c>
      <c r="E271" t="inlineStr">
        <is>
          <t>89% ✖</t>
        </is>
      </c>
      <c r="F271" t="inlineStr">
        <is>
          <t>93% ✖</t>
        </is>
      </c>
      <c r="G271" t="inlineStr">
        <is>
          <t>97% ✖</t>
        </is>
      </c>
      <c r="H271" t="inlineStr">
        <is>
          <t>100% ✔</t>
        </is>
      </c>
    </row>
    <row r="272">
      <c r="A272" t="n">
        <v>200</v>
      </c>
      <c r="B272" t="inlineStr">
        <is>
          <t>79% ✖</t>
        </is>
      </c>
      <c r="C272" t="inlineStr">
        <is>
          <t>82% ✖</t>
        </is>
      </c>
      <c r="D272" t="inlineStr">
        <is>
          <t>86% ✖</t>
        </is>
      </c>
      <c r="E272" t="inlineStr">
        <is>
          <t>90% ✖</t>
        </is>
      </c>
      <c r="F272" t="inlineStr">
        <is>
          <t>93% ✖</t>
        </is>
      </c>
      <c r="G272" t="inlineStr">
        <is>
          <t>97% ✖</t>
        </is>
      </c>
      <c r="H272" t="inlineStr">
        <is>
          <t>101% ✔</t>
        </is>
      </c>
    </row>
    <row r="274">
      <c r="A274" s="6" t="inlineStr">
        <is>
          <t>3-د) الزيادة اللازمة للتعادل (نفس إيراد البيع المباشر) — ملخص</t>
        </is>
      </c>
    </row>
    <row r="275">
      <c r="A275" t="inlineStr">
        <is>
          <t>الطلب المباشر الأصلي</t>
        </is>
      </c>
      <c r="B275" t="inlineStr">
        <is>
          <t>سعر HS المطلوب (توصيل)</t>
        </is>
      </c>
      <c r="C275" t="inlineStr">
        <is>
          <t>الزيادة</t>
        </is>
      </c>
      <c r="D275" t="inlineStr">
        <is>
          <t>سعر HS (HPlus)</t>
        </is>
      </c>
      <c r="E275" t="inlineStr">
        <is>
          <t>الزيادة</t>
        </is>
      </c>
      <c r="F275" t="inlineStr">
        <is>
          <t>سعر HS (استلام)</t>
        </is>
      </c>
      <c r="G275" t="inlineStr">
        <is>
          <t>الزيادة</t>
        </is>
      </c>
      <c r="H275" t="inlineStr">
        <is>
          <t>متغير ب: توصيل لو العمولة قبل الضريبة</t>
        </is>
      </c>
    </row>
    <row r="276">
      <c r="A276" t="n">
        <v>30</v>
      </c>
      <c r="B276" t="n">
        <v>55.29</v>
      </c>
      <c r="C276" t="inlineStr">
        <is>
          <t>84%</t>
        </is>
      </c>
      <c r="D276" t="n">
        <v>64.75</v>
      </c>
      <c r="E276" t="inlineStr">
        <is>
          <t>116%</t>
        </is>
      </c>
      <c r="F276" t="n">
        <v>45.05</v>
      </c>
      <c r="G276" t="inlineStr">
        <is>
          <t>50%</t>
        </is>
      </c>
      <c r="H276" t="inlineStr">
        <is>
          <t>76%</t>
        </is>
      </c>
    </row>
    <row r="277">
      <c r="A277" t="n">
        <v>40</v>
      </c>
      <c r="B277" t="n">
        <v>72.15000000000001</v>
      </c>
      <c r="C277" t="inlineStr">
        <is>
          <t>80%</t>
        </is>
      </c>
      <c r="D277" t="n">
        <v>78.45</v>
      </c>
      <c r="E277" t="inlineStr">
        <is>
          <t>96%</t>
        </is>
      </c>
      <c r="F277" t="n">
        <v>58.75</v>
      </c>
      <c r="G277" t="inlineStr">
        <is>
          <t>47%</t>
        </is>
      </c>
      <c r="H277" t="inlineStr">
        <is>
          <t>72%</t>
        </is>
      </c>
    </row>
    <row r="278">
      <c r="A278" t="n">
        <v>50</v>
      </c>
      <c r="B278" t="n">
        <v>89</v>
      </c>
      <c r="C278" t="inlineStr">
        <is>
          <t>78%</t>
        </is>
      </c>
      <c r="D278" t="n">
        <v>95.31</v>
      </c>
      <c r="E278" t="inlineStr">
        <is>
          <t>91%</t>
        </is>
      </c>
      <c r="F278" t="n">
        <v>72.45999999999999</v>
      </c>
      <c r="G278" t="inlineStr">
        <is>
          <t>45%</t>
        </is>
      </c>
      <c r="H278" t="inlineStr">
        <is>
          <t>70%</t>
        </is>
      </c>
    </row>
    <row r="279">
      <c r="A279" t="n">
        <v>60</v>
      </c>
      <c r="B279" t="n">
        <v>102.71</v>
      </c>
      <c r="C279" t="inlineStr">
        <is>
          <t>71%</t>
        </is>
      </c>
      <c r="D279" t="n">
        <v>109.01</v>
      </c>
      <c r="E279" t="inlineStr">
        <is>
          <t>82%</t>
        </is>
      </c>
      <c r="F279" t="n">
        <v>86.16</v>
      </c>
      <c r="G279" t="inlineStr">
        <is>
          <t>44%</t>
        </is>
      </c>
      <c r="H279" t="inlineStr">
        <is>
          <t>63%</t>
        </is>
      </c>
    </row>
    <row r="280">
      <c r="A280" t="n">
        <v>80</v>
      </c>
      <c r="B280" t="n">
        <v>130.11</v>
      </c>
      <c r="C280" t="inlineStr">
        <is>
          <t>63%</t>
        </is>
      </c>
      <c r="D280" t="n">
        <v>136.42</v>
      </c>
      <c r="E280" t="inlineStr">
        <is>
          <t>71%</t>
        </is>
      </c>
      <c r="F280" t="n">
        <v>113.57</v>
      </c>
      <c r="G280" t="inlineStr">
        <is>
          <t>42%</t>
        </is>
      </c>
      <c r="H280" t="inlineStr">
        <is>
          <t>55%</t>
        </is>
      </c>
    </row>
    <row r="281">
      <c r="A281" t="n">
        <v>100</v>
      </c>
      <c r="B281" t="n">
        <v>157.52</v>
      </c>
      <c r="C281" t="inlineStr">
        <is>
          <t>58%</t>
        </is>
      </c>
      <c r="D281" t="n">
        <v>163.82</v>
      </c>
      <c r="E281" t="inlineStr">
        <is>
          <t>64%</t>
        </is>
      </c>
      <c r="F281" t="n">
        <v>140.97</v>
      </c>
      <c r="G281" t="inlineStr">
        <is>
          <t>41%</t>
        </is>
      </c>
      <c r="H281" t="inlineStr">
        <is>
          <t>50%</t>
        </is>
      </c>
    </row>
    <row r="282">
      <c r="A282" t="n">
        <v>120</v>
      </c>
      <c r="B282" t="n">
        <v>184.93</v>
      </c>
      <c r="C282" t="inlineStr">
        <is>
          <t>54%</t>
        </is>
      </c>
      <c r="D282" t="n">
        <v>191.23</v>
      </c>
      <c r="E282" t="inlineStr">
        <is>
          <t>59%</t>
        </is>
      </c>
      <c r="F282" t="n">
        <v>168.38</v>
      </c>
      <c r="G282" t="inlineStr">
        <is>
          <t>40%</t>
        </is>
      </c>
      <c r="H282" t="inlineStr">
        <is>
          <t>47%</t>
        </is>
      </c>
    </row>
    <row r="283">
      <c r="A283" t="n">
        <v>150</v>
      </c>
      <c r="B283" t="n">
        <v>226.04</v>
      </c>
      <c r="C283" t="inlineStr">
        <is>
          <t>51%</t>
        </is>
      </c>
      <c r="D283" t="n">
        <v>232.34</v>
      </c>
      <c r="E283" t="inlineStr">
        <is>
          <t>55%</t>
        </is>
      </c>
      <c r="F283" t="n">
        <v>209.49</v>
      </c>
      <c r="G283" t="inlineStr">
        <is>
          <t>40%</t>
        </is>
      </c>
      <c r="H283" t="inlineStr">
        <is>
          <t>44%</t>
        </is>
      </c>
    </row>
    <row r="284">
      <c r="A284" t="n">
        <v>200</v>
      </c>
      <c r="B284" t="n">
        <v>294.55</v>
      </c>
      <c r="C284" t="inlineStr">
        <is>
          <t>47%</t>
        </is>
      </c>
      <c r="D284" t="n">
        <v>300.86</v>
      </c>
      <c r="E284" t="inlineStr">
        <is>
          <t>50%</t>
        </is>
      </c>
      <c r="F284" t="n">
        <v>278.01</v>
      </c>
      <c r="G284" t="inlineStr">
        <is>
          <t>39%</t>
        </is>
      </c>
      <c r="H284" t="inlineStr">
        <is>
          <t>40%</t>
        </is>
      </c>
    </row>
    <row r="286">
      <c r="A286" s="6" t="inlineStr">
        <is>
          <t>4) نقطة التعادل (Break-even)</t>
        </is>
      </c>
    </row>
    <row r="288">
      <c r="A288" s="6" t="inlineStr">
        <is>
          <t>5) الربحية الفعلية وحدود التصنيف</t>
        </is>
      </c>
    </row>
    <row r="289">
      <c r="A289" t="inlineStr">
        <is>
          <t>سلة HS</t>
        </is>
      </c>
      <c r="B289" t="inlineStr">
        <is>
          <t>مباشر مقابل</t>
        </is>
      </c>
      <c r="C289" t="inlineStr">
        <is>
          <t>الصافي</t>
        </is>
      </c>
      <c r="D289" t="inlineStr">
        <is>
          <t>تكلفة (طعام+تغليف)</t>
        </is>
      </c>
      <c r="E289" t="inlineStr">
        <is>
          <t>CM</t>
        </is>
      </c>
      <c r="F289" t="inlineStr">
        <is>
          <t>CM%</t>
        </is>
      </c>
      <c r="G289" t="inlineStr">
        <is>
          <t>التصنيف</t>
        </is>
      </c>
      <c r="H289" t="inlineStr">
        <is>
          <t>CM لو بيع مباشرة</t>
        </is>
      </c>
      <c r="I289" t="inlineStr">
        <is>
          <t>CM HS ÷ CM مباشر</t>
        </is>
      </c>
      <c r="J289" t="inlineStr">
        <is>
          <t>CM مع HPlus</t>
        </is>
      </c>
      <c r="K289" t="inlineStr">
        <is>
          <t>CM% HPlus</t>
        </is>
      </c>
      <c r="L289" t="inlineStr">
        <is>
          <t>التصنيف HPlus</t>
        </is>
      </c>
    </row>
    <row r="290">
      <c r="A290" t="n">
        <v>30</v>
      </c>
      <c r="B290" t="n">
        <v>25</v>
      </c>
      <c r="C290" t="n">
        <v>12.04</v>
      </c>
      <c r="D290" t="n">
        <v>8.960000000000001</v>
      </c>
      <c r="E290" t="n">
        <v>3.08</v>
      </c>
      <c r="F290" t="inlineStr">
        <is>
          <t>11.8%</t>
        </is>
      </c>
      <c r="G290" t="inlineStr">
        <is>
          <t>🔴 أحمر</t>
        </is>
      </c>
      <c r="H290" t="n">
        <v>12.78</v>
      </c>
      <c r="I290" t="inlineStr">
        <is>
          <t>24%</t>
        </is>
      </c>
      <c r="J290" t="n">
        <v>-0.92</v>
      </c>
      <c r="K290" t="inlineStr">
        <is>
          <t>-3.5%</t>
        </is>
      </c>
      <c r="L290" t="inlineStr">
        <is>
          <t>🔴 أحمر</t>
        </is>
      </c>
    </row>
    <row r="291">
      <c r="A291" t="n">
        <v>40</v>
      </c>
      <c r="B291" t="n">
        <v>33.33</v>
      </c>
      <c r="C291" t="n">
        <v>17.38</v>
      </c>
      <c r="D291" t="n">
        <v>11.28</v>
      </c>
      <c r="E291" t="n">
        <v>6.11</v>
      </c>
      <c r="F291" t="inlineStr">
        <is>
          <t>17.6%</t>
        </is>
      </c>
      <c r="G291" t="inlineStr">
        <is>
          <t>🟡 أصفر</t>
        </is>
      </c>
      <c r="H291" t="n">
        <v>17.71</v>
      </c>
      <c r="I291" t="inlineStr">
        <is>
          <t>34%</t>
        </is>
      </c>
      <c r="J291" t="n">
        <v>2.11</v>
      </c>
      <c r="K291" t="inlineStr">
        <is>
          <t>6.1%</t>
        </is>
      </c>
      <c r="L291" t="inlineStr">
        <is>
          <t>🔴 أحمر</t>
        </is>
      </c>
    </row>
    <row r="292">
      <c r="A292" t="n">
        <v>50</v>
      </c>
      <c r="B292" t="n">
        <v>41.67</v>
      </c>
      <c r="C292" t="n">
        <v>22.73</v>
      </c>
      <c r="D292" t="n">
        <v>13.59</v>
      </c>
      <c r="E292" t="n">
        <v>9.130000000000001</v>
      </c>
      <c r="F292" t="inlineStr">
        <is>
          <t>21.0%</t>
        </is>
      </c>
      <c r="G292" t="inlineStr">
        <is>
          <t>🟡 أصفر</t>
        </is>
      </c>
      <c r="H292" t="n">
        <v>22.64</v>
      </c>
      <c r="I292" t="inlineStr">
        <is>
          <t>40%</t>
        </is>
      </c>
      <c r="J292" t="n">
        <v>5.13</v>
      </c>
      <c r="K292" t="inlineStr">
        <is>
          <t>11.8%</t>
        </is>
      </c>
      <c r="L292" t="inlineStr">
        <is>
          <t>🔴 أحمر</t>
        </is>
      </c>
    </row>
    <row r="293">
      <c r="A293" t="n">
        <v>60</v>
      </c>
      <c r="B293" t="n">
        <v>50</v>
      </c>
      <c r="C293" t="n">
        <v>27.07</v>
      </c>
      <c r="D293" t="n">
        <v>15.91</v>
      </c>
      <c r="E293" t="n">
        <v>11.16</v>
      </c>
      <c r="F293" t="inlineStr">
        <is>
          <t>21.4%</t>
        </is>
      </c>
      <c r="G293" t="inlineStr">
        <is>
          <t>🟡 أصفر</t>
        </is>
      </c>
      <c r="H293" t="n">
        <v>27.57</v>
      </c>
      <c r="I293" t="inlineStr">
        <is>
          <t>40%</t>
        </is>
      </c>
      <c r="J293" t="n">
        <v>7.16</v>
      </c>
      <c r="K293" t="inlineStr">
        <is>
          <t>13.7%</t>
        </is>
      </c>
      <c r="L293" t="inlineStr">
        <is>
          <t>🔴 أحمر</t>
        </is>
      </c>
    </row>
    <row r="294">
      <c r="A294" t="n">
        <v>80</v>
      </c>
      <c r="B294" t="n">
        <v>66.67</v>
      </c>
      <c r="C294" t="n">
        <v>37.77</v>
      </c>
      <c r="D294" t="n">
        <v>20.55</v>
      </c>
      <c r="E294" t="n">
        <v>17.21</v>
      </c>
      <c r="F294" t="inlineStr">
        <is>
          <t>24.7%</t>
        </is>
      </c>
      <c r="G294" t="inlineStr">
        <is>
          <t>🟡 أصفر</t>
        </is>
      </c>
      <c r="H294" t="n">
        <v>37.42</v>
      </c>
      <c r="I294" t="inlineStr">
        <is>
          <t>46%</t>
        </is>
      </c>
      <c r="J294" t="n">
        <v>13.21</v>
      </c>
      <c r="K294" t="inlineStr">
        <is>
          <t>19.0%</t>
        </is>
      </c>
      <c r="L294" t="inlineStr">
        <is>
          <t>🟡 أصفر</t>
        </is>
      </c>
    </row>
    <row r="295">
      <c r="A295" t="n">
        <v>100</v>
      </c>
      <c r="B295" t="n">
        <v>83.33</v>
      </c>
      <c r="C295" t="n">
        <v>50.46</v>
      </c>
      <c r="D295" t="n">
        <v>25.19</v>
      </c>
      <c r="E295" t="n">
        <v>25.27</v>
      </c>
      <c r="F295" t="inlineStr">
        <is>
          <t>29.1%</t>
        </is>
      </c>
      <c r="G295" t="inlineStr">
        <is>
          <t>🟡 أصفر</t>
        </is>
      </c>
      <c r="H295" t="n">
        <v>47.28</v>
      </c>
      <c r="I295" t="inlineStr">
        <is>
          <t>53%</t>
        </is>
      </c>
      <c r="J295" t="n">
        <v>21.27</v>
      </c>
      <c r="K295" t="inlineStr">
        <is>
          <t>24.5%</t>
        </is>
      </c>
      <c r="L295" t="inlineStr">
        <is>
          <t>🟡 أصفر</t>
        </is>
      </c>
    </row>
    <row r="296">
      <c r="A296" t="n">
        <v>120</v>
      </c>
      <c r="B296" t="n">
        <v>100</v>
      </c>
      <c r="C296" t="n">
        <v>63.15</v>
      </c>
      <c r="D296" t="n">
        <v>29.83</v>
      </c>
      <c r="E296" t="n">
        <v>33.32</v>
      </c>
      <c r="F296" t="inlineStr">
        <is>
          <t>31.9%</t>
        </is>
      </c>
      <c r="G296" t="inlineStr">
        <is>
          <t>🟢 أخضر</t>
        </is>
      </c>
      <c r="H296" t="n">
        <v>57.13</v>
      </c>
      <c r="I296" t="inlineStr">
        <is>
          <t>58%</t>
        </is>
      </c>
      <c r="J296" t="n">
        <v>29.32</v>
      </c>
      <c r="K296" t="inlineStr">
        <is>
          <t>28.1%</t>
        </is>
      </c>
      <c r="L296" t="inlineStr">
        <is>
          <t>🟡 أصفر</t>
        </is>
      </c>
    </row>
    <row r="297">
      <c r="A297" t="n">
        <v>150</v>
      </c>
      <c r="B297" t="n">
        <v>125</v>
      </c>
      <c r="C297" t="n">
        <v>82.18000000000001</v>
      </c>
      <c r="D297" t="n">
        <v>36.78</v>
      </c>
      <c r="E297" t="n">
        <v>45.4</v>
      </c>
      <c r="F297" t="inlineStr">
        <is>
          <t>34.8%</t>
        </is>
      </c>
      <c r="G297" t="inlineStr">
        <is>
          <t>🟢 أخضر</t>
        </is>
      </c>
      <c r="H297" t="n">
        <v>71.91</v>
      </c>
      <c r="I297" t="inlineStr">
        <is>
          <t>63%</t>
        </is>
      </c>
      <c r="J297" t="n">
        <v>41.4</v>
      </c>
      <c r="K297" t="inlineStr">
        <is>
          <t>31.7%</t>
        </is>
      </c>
      <c r="L297" t="inlineStr">
        <is>
          <t>🟢 أخضر</t>
        </is>
      </c>
    </row>
    <row r="299">
      <c r="A299" s="6" t="inlineStr">
        <is>
          <t>6) سيناريوهات الحجم الشهري (30 يوماً)</t>
        </is>
      </c>
    </row>
    <row r="301">
      <c r="A301" s="6" t="inlineStr">
        <is>
          <t>تفصيل (سلة 60 ريال) عند HPlus = 25%</t>
        </is>
      </c>
    </row>
    <row r="302">
      <c r="A302" t="inlineStr">
        <is>
          <t>طلب/يوم</t>
        </is>
      </c>
      <c r="B302" t="inlineStr">
        <is>
          <t>طلب/شهر</t>
        </is>
      </c>
      <c r="C302" t="inlineStr">
        <is>
          <t>GMV شامل الضريبة</t>
        </is>
      </c>
      <c r="D302" t="inlineStr">
        <is>
          <t>ضريبة</t>
        </is>
      </c>
      <c r="E302" t="inlineStr">
        <is>
          <t>عمولة 21%</t>
        </is>
      </c>
      <c r="F302" t="inlineStr">
        <is>
          <t>دفع 2.5%</t>
        </is>
      </c>
      <c r="G302" t="inlineStr">
        <is>
          <t>توصيل</t>
        </is>
      </c>
      <c r="H302" t="inlineStr">
        <is>
          <t>HPlus 25%</t>
        </is>
      </c>
      <c r="I302" t="inlineStr">
        <is>
          <t>اشتراك+طابعة</t>
        </is>
      </c>
      <c r="J302" t="inlineStr">
        <is>
          <t>إيراد بعد الخصومات</t>
        </is>
      </c>
      <c r="K302" t="inlineStr">
        <is>
          <t>تكلفة طعام</t>
        </is>
      </c>
      <c r="L302" t="inlineStr">
        <is>
          <t>تغليف</t>
        </is>
      </c>
      <c r="M302" t="inlineStr">
        <is>
          <t>ربح المساهمة</t>
        </is>
      </c>
      <c r="N302" t="inlineStr">
        <is>
          <t>CM% (من مبيعات بدون ضريبة)</t>
        </is>
      </c>
    </row>
    <row r="303">
      <c r="A303" t="n">
        <v>10</v>
      </c>
      <c r="B303" t="n">
        <v>300</v>
      </c>
      <c r="C303" t="n">
        <v>18000</v>
      </c>
      <c r="D303" t="n">
        <v>2348</v>
      </c>
      <c r="E303" t="n">
        <v>3780</v>
      </c>
      <c r="F303" t="n">
        <v>450</v>
      </c>
      <c r="G303" t="n">
        <v>3300</v>
      </c>
      <c r="H303" t="n">
        <v>300</v>
      </c>
      <c r="I303" t="n">
        <v>242</v>
      </c>
      <c r="J303" t="n">
        <v>7822</v>
      </c>
      <c r="K303" t="n">
        <v>4174</v>
      </c>
      <c r="L303" t="n">
        <v>600</v>
      </c>
      <c r="M303" t="n">
        <v>2807</v>
      </c>
      <c r="N303" t="inlineStr">
        <is>
          <t>17.9%</t>
        </is>
      </c>
    </row>
    <row r="304">
      <c r="A304" t="n">
        <v>20</v>
      </c>
      <c r="B304" t="n">
        <v>600</v>
      </c>
      <c r="C304" t="n">
        <v>36000</v>
      </c>
      <c r="D304" t="n">
        <v>4696</v>
      </c>
      <c r="E304" t="n">
        <v>7560</v>
      </c>
      <c r="F304" t="n">
        <v>900</v>
      </c>
      <c r="G304" t="n">
        <v>6600</v>
      </c>
      <c r="H304" t="n">
        <v>600</v>
      </c>
      <c r="I304" t="n">
        <v>242</v>
      </c>
      <c r="J304" t="n">
        <v>15644</v>
      </c>
      <c r="K304" t="n">
        <v>8348</v>
      </c>
      <c r="L304" t="n">
        <v>1200</v>
      </c>
      <c r="M304" t="n">
        <v>5855</v>
      </c>
      <c r="N304" t="inlineStr">
        <is>
          <t>18.7%</t>
        </is>
      </c>
    </row>
    <row r="305">
      <c r="A305" t="n">
        <v>30</v>
      </c>
      <c r="B305" t="n">
        <v>900</v>
      </c>
      <c r="C305" t="n">
        <v>54000</v>
      </c>
      <c r="D305" t="n">
        <v>7043</v>
      </c>
      <c r="E305" t="n">
        <v>11340</v>
      </c>
      <c r="F305" t="n">
        <v>1350</v>
      </c>
      <c r="G305" t="n">
        <v>9900</v>
      </c>
      <c r="H305" t="n">
        <v>900</v>
      </c>
      <c r="I305" t="n">
        <v>242</v>
      </c>
      <c r="J305" t="n">
        <v>23467</v>
      </c>
      <c r="K305" t="n">
        <v>12522</v>
      </c>
      <c r="L305" t="n">
        <v>1800</v>
      </c>
      <c r="M305" t="n">
        <v>8903</v>
      </c>
      <c r="N305" t="inlineStr">
        <is>
          <t>19.0%</t>
        </is>
      </c>
    </row>
    <row r="306">
      <c r="A306" t="n">
        <v>50</v>
      </c>
      <c r="B306" t="n">
        <v>1500</v>
      </c>
      <c r="C306" t="n">
        <v>90000</v>
      </c>
      <c r="D306" t="n">
        <v>11739</v>
      </c>
      <c r="E306" t="n">
        <v>18900</v>
      </c>
      <c r="F306" t="n">
        <v>2250</v>
      </c>
      <c r="G306" t="n">
        <v>16500</v>
      </c>
      <c r="H306" t="n">
        <v>1500</v>
      </c>
      <c r="I306" t="n">
        <v>242</v>
      </c>
      <c r="J306" t="n">
        <v>39111</v>
      </c>
      <c r="K306" t="n">
        <v>20870</v>
      </c>
      <c r="L306" t="n">
        <v>3000</v>
      </c>
      <c r="M306" t="n">
        <v>15000</v>
      </c>
      <c r="N306" t="inlineStr">
        <is>
          <t>19.2%</t>
        </is>
      </c>
    </row>
    <row r="307">
      <c r="A307" t="n">
        <v>75</v>
      </c>
      <c r="B307" t="n">
        <v>2250</v>
      </c>
      <c r="C307" t="n">
        <v>135000</v>
      </c>
      <c r="D307" t="n">
        <v>17609</v>
      </c>
      <c r="E307" t="n">
        <v>28350</v>
      </c>
      <c r="F307" t="n">
        <v>3375</v>
      </c>
      <c r="G307" t="n">
        <v>24750</v>
      </c>
      <c r="H307" t="n">
        <v>2250</v>
      </c>
      <c r="I307" t="n">
        <v>242</v>
      </c>
      <c r="J307" t="n">
        <v>58666</v>
      </c>
      <c r="K307" t="n">
        <v>31304</v>
      </c>
      <c r="L307" t="n">
        <v>4500</v>
      </c>
      <c r="M307" t="n">
        <v>22620</v>
      </c>
      <c r="N307" t="inlineStr">
        <is>
          <t>19.3%</t>
        </is>
      </c>
    </row>
    <row r="308">
      <c r="A308" t="n">
        <v>100</v>
      </c>
      <c r="B308" t="n">
        <v>3000</v>
      </c>
      <c r="C308" t="n">
        <v>180000</v>
      </c>
      <c r="D308" t="n">
        <v>23478</v>
      </c>
      <c r="E308" t="n">
        <v>37800</v>
      </c>
      <c r="F308" t="n">
        <v>4500</v>
      </c>
      <c r="G308" t="n">
        <v>33000</v>
      </c>
      <c r="H308" t="n">
        <v>3000</v>
      </c>
      <c r="I308" t="n">
        <v>242</v>
      </c>
      <c r="J308" t="n">
        <v>78222</v>
      </c>
      <c r="K308" t="n">
        <v>41739</v>
      </c>
      <c r="L308" t="n">
        <v>6000</v>
      </c>
      <c r="M308" t="n">
        <v>30241</v>
      </c>
      <c r="N308" t="inlineStr">
        <is>
          <t>19.3%</t>
        </is>
      </c>
    </row>
    <row r="309">
      <c r="A309" t="inlineStr">
        <is>
          <t>طلب/يوم</t>
        </is>
      </c>
      <c r="B309" t="inlineStr">
        <is>
          <t>HPlus 0%</t>
        </is>
      </c>
      <c r="C309" t="inlineStr">
        <is>
          <t>25%</t>
        </is>
      </c>
      <c r="D309" t="inlineStr">
        <is>
          <t>50%</t>
        </is>
      </c>
      <c r="E309" t="inlineStr">
        <is>
          <t>75%</t>
        </is>
      </c>
      <c r="F309" t="inlineStr">
        <is>
          <t>100%</t>
        </is>
      </c>
    </row>
    <row r="310">
      <c r="A310" t="n">
        <v>10</v>
      </c>
      <c r="B310" t="n">
        <v>3107</v>
      </c>
      <c r="C310" t="n">
        <v>2807</v>
      </c>
      <c r="D310" t="n">
        <v>2507</v>
      </c>
      <c r="E310" t="n">
        <v>2207</v>
      </c>
      <c r="F310" t="n">
        <v>1907</v>
      </c>
    </row>
    <row r="311">
      <c r="A311" t="n">
        <v>20</v>
      </c>
      <c r="B311" t="n">
        <v>6455</v>
      </c>
      <c r="C311" t="n">
        <v>5855</v>
      </c>
      <c r="D311" t="n">
        <v>5255</v>
      </c>
      <c r="E311" t="n">
        <v>4655</v>
      </c>
      <c r="F311" t="n">
        <v>4055</v>
      </c>
    </row>
    <row r="312">
      <c r="A312" t="n">
        <v>30</v>
      </c>
      <c r="B312" t="n">
        <v>9803</v>
      </c>
      <c r="C312" t="n">
        <v>8903</v>
      </c>
      <c r="D312" t="n">
        <v>8003</v>
      </c>
      <c r="E312" t="n">
        <v>7103</v>
      </c>
      <c r="F312" t="n">
        <v>6203</v>
      </c>
    </row>
    <row r="313">
      <c r="A313" t="n">
        <v>50</v>
      </c>
      <c r="B313" t="n">
        <v>16500</v>
      </c>
      <c r="C313" t="n">
        <v>15000</v>
      </c>
      <c r="D313" t="n">
        <v>13500</v>
      </c>
      <c r="E313" t="n">
        <v>12000</v>
      </c>
      <c r="F313" t="n">
        <v>10500</v>
      </c>
    </row>
    <row r="314">
      <c r="A314" t="n">
        <v>75</v>
      </c>
      <c r="B314" t="n">
        <v>24870</v>
      </c>
      <c r="C314" t="n">
        <v>22620</v>
      </c>
      <c r="D314" t="n">
        <v>20370</v>
      </c>
      <c r="E314" t="n">
        <v>18120</v>
      </c>
      <c r="F314" t="n">
        <v>15870</v>
      </c>
    </row>
    <row r="315">
      <c r="A315" t="n">
        <v>100</v>
      </c>
      <c r="B315" t="n">
        <v>33241</v>
      </c>
      <c r="C315" t="n">
        <v>30241</v>
      </c>
      <c r="D315" t="n">
        <v>27241</v>
      </c>
      <c r="E315" t="n">
        <v>24241</v>
      </c>
      <c r="F315" t="n">
        <v>21241</v>
      </c>
    </row>
    <row r="317">
      <c r="A317" s="6" t="inlineStr">
        <is>
          <t>تفصيل (سلة 100 ريال) عند HPlus = 25%</t>
        </is>
      </c>
    </row>
    <row r="318">
      <c r="A318" t="inlineStr">
        <is>
          <t>طلب/يوم</t>
        </is>
      </c>
      <c r="B318" t="inlineStr">
        <is>
          <t>طلب/شهر</t>
        </is>
      </c>
      <c r="C318" t="inlineStr">
        <is>
          <t>GMV شامل الضريبة</t>
        </is>
      </c>
      <c r="D318" t="inlineStr">
        <is>
          <t>ضريبة</t>
        </is>
      </c>
      <c r="E318" t="inlineStr">
        <is>
          <t>عمولة 21%</t>
        </is>
      </c>
      <c r="F318" t="inlineStr">
        <is>
          <t>دفع 2.5%</t>
        </is>
      </c>
      <c r="G318" t="inlineStr">
        <is>
          <t>توصيل</t>
        </is>
      </c>
      <c r="H318" t="inlineStr">
        <is>
          <t>HPlus 25%</t>
        </is>
      </c>
      <c r="I318" t="inlineStr">
        <is>
          <t>اشتراك+طابعة</t>
        </is>
      </c>
      <c r="J318" t="inlineStr">
        <is>
          <t>إيراد بعد الخصومات</t>
        </is>
      </c>
      <c r="K318" t="inlineStr">
        <is>
          <t>تكلفة طعام</t>
        </is>
      </c>
      <c r="L318" t="inlineStr">
        <is>
          <t>تغليف</t>
        </is>
      </c>
      <c r="M318" t="inlineStr">
        <is>
          <t>ربح المساهمة</t>
        </is>
      </c>
      <c r="N318" t="inlineStr">
        <is>
          <t>CM% (من مبيعات بدون ضريبة)</t>
        </is>
      </c>
    </row>
    <row r="319">
      <c r="A319" t="n">
        <v>10</v>
      </c>
      <c r="B319" t="n">
        <v>300</v>
      </c>
      <c r="C319" t="n">
        <v>30000</v>
      </c>
      <c r="D319" t="n">
        <v>3913</v>
      </c>
      <c r="E319" t="n">
        <v>6300</v>
      </c>
      <c r="F319" t="n">
        <v>750</v>
      </c>
      <c r="G319" t="n">
        <v>3900</v>
      </c>
      <c r="H319" t="n">
        <v>300</v>
      </c>
      <c r="I319" t="n">
        <v>242</v>
      </c>
      <c r="J319" t="n">
        <v>14837</v>
      </c>
      <c r="K319" t="n">
        <v>6957</v>
      </c>
      <c r="L319" t="n">
        <v>600</v>
      </c>
      <c r="M319" t="n">
        <v>7039</v>
      </c>
      <c r="N319" t="inlineStr">
        <is>
          <t>27.0%</t>
        </is>
      </c>
    </row>
    <row r="320">
      <c r="A320" t="n">
        <v>20</v>
      </c>
      <c r="B320" t="n">
        <v>600</v>
      </c>
      <c r="C320" t="n">
        <v>60000</v>
      </c>
      <c r="D320" t="n">
        <v>7826</v>
      </c>
      <c r="E320" t="n">
        <v>12600</v>
      </c>
      <c r="F320" t="n">
        <v>1500</v>
      </c>
      <c r="G320" t="n">
        <v>7800</v>
      </c>
      <c r="H320" t="n">
        <v>600</v>
      </c>
      <c r="I320" t="n">
        <v>242</v>
      </c>
      <c r="J320" t="n">
        <v>29674</v>
      </c>
      <c r="K320" t="n">
        <v>13913</v>
      </c>
      <c r="L320" t="n">
        <v>1200</v>
      </c>
      <c r="M320" t="n">
        <v>14319</v>
      </c>
      <c r="N320" t="inlineStr">
        <is>
          <t>27.4%</t>
        </is>
      </c>
    </row>
    <row r="321">
      <c r="A321" t="n">
        <v>30</v>
      </c>
      <c r="B321" t="n">
        <v>900</v>
      </c>
      <c r="C321" t="n">
        <v>90000</v>
      </c>
      <c r="D321" t="n">
        <v>11739</v>
      </c>
      <c r="E321" t="n">
        <v>18900</v>
      </c>
      <c r="F321" t="n">
        <v>2250</v>
      </c>
      <c r="G321" t="n">
        <v>11700</v>
      </c>
      <c r="H321" t="n">
        <v>900</v>
      </c>
      <c r="I321" t="n">
        <v>242</v>
      </c>
      <c r="J321" t="n">
        <v>44511</v>
      </c>
      <c r="K321" t="n">
        <v>20870</v>
      </c>
      <c r="L321" t="n">
        <v>1800</v>
      </c>
      <c r="M321" t="n">
        <v>21600</v>
      </c>
      <c r="N321" t="inlineStr">
        <is>
          <t>27.6%</t>
        </is>
      </c>
    </row>
    <row r="322">
      <c r="A322" t="n">
        <v>50</v>
      </c>
      <c r="B322" t="n">
        <v>1500</v>
      </c>
      <c r="C322" t="n">
        <v>150000</v>
      </c>
      <c r="D322" t="n">
        <v>19565</v>
      </c>
      <c r="E322" t="n">
        <v>31500</v>
      </c>
      <c r="F322" t="n">
        <v>3750</v>
      </c>
      <c r="G322" t="n">
        <v>19500</v>
      </c>
      <c r="H322" t="n">
        <v>1500</v>
      </c>
      <c r="I322" t="n">
        <v>242</v>
      </c>
      <c r="J322" t="n">
        <v>74185</v>
      </c>
      <c r="K322" t="n">
        <v>34783</v>
      </c>
      <c r="L322" t="n">
        <v>3000</v>
      </c>
      <c r="M322" t="n">
        <v>36161</v>
      </c>
      <c r="N322" t="inlineStr">
        <is>
          <t>27.7%</t>
        </is>
      </c>
    </row>
    <row r="323">
      <c r="A323" t="n">
        <v>75</v>
      </c>
      <c r="B323" t="n">
        <v>2250</v>
      </c>
      <c r="C323" t="n">
        <v>225000</v>
      </c>
      <c r="D323" t="n">
        <v>29348</v>
      </c>
      <c r="E323" t="n">
        <v>47250</v>
      </c>
      <c r="F323" t="n">
        <v>5625</v>
      </c>
      <c r="G323" t="n">
        <v>29250</v>
      </c>
      <c r="H323" t="n">
        <v>2250</v>
      </c>
      <c r="I323" t="n">
        <v>242</v>
      </c>
      <c r="J323" t="n">
        <v>111277</v>
      </c>
      <c r="K323" t="n">
        <v>52174</v>
      </c>
      <c r="L323" t="n">
        <v>4500</v>
      </c>
      <c r="M323" t="n">
        <v>54362</v>
      </c>
      <c r="N323" t="inlineStr">
        <is>
          <t>27.8%</t>
        </is>
      </c>
    </row>
    <row r="324">
      <c r="A324" t="n">
        <v>100</v>
      </c>
      <c r="B324" t="n">
        <v>3000</v>
      </c>
      <c r="C324" t="n">
        <v>300000</v>
      </c>
      <c r="D324" t="n">
        <v>39130</v>
      </c>
      <c r="E324" t="n">
        <v>63000</v>
      </c>
      <c r="F324" t="n">
        <v>7500</v>
      </c>
      <c r="G324" t="n">
        <v>39000</v>
      </c>
      <c r="H324" t="n">
        <v>3000</v>
      </c>
      <c r="I324" t="n">
        <v>242</v>
      </c>
      <c r="J324" t="n">
        <v>148370</v>
      </c>
      <c r="K324" t="n">
        <v>69565</v>
      </c>
      <c r="L324" t="n">
        <v>6000</v>
      </c>
      <c r="M324" t="n">
        <v>72563</v>
      </c>
      <c r="N324" t="inlineStr">
        <is>
          <t>27.8%</t>
        </is>
      </c>
    </row>
    <row r="325">
      <c r="A325" t="inlineStr">
        <is>
          <t>طلب/يوم</t>
        </is>
      </c>
      <c r="B325" t="inlineStr">
        <is>
          <t>HPlus 0%</t>
        </is>
      </c>
      <c r="C325" t="inlineStr">
        <is>
          <t>25%</t>
        </is>
      </c>
      <c r="D325" t="inlineStr">
        <is>
          <t>50%</t>
        </is>
      </c>
      <c r="E325" t="inlineStr">
        <is>
          <t>75%</t>
        </is>
      </c>
      <c r="F325" t="inlineStr">
        <is>
          <t>100%</t>
        </is>
      </c>
    </row>
    <row r="326">
      <c r="A326" t="n">
        <v>10</v>
      </c>
      <c r="B326" t="n">
        <v>7339</v>
      </c>
      <c r="C326" t="n">
        <v>7039</v>
      </c>
      <c r="D326" t="n">
        <v>6739</v>
      </c>
      <c r="E326" t="n">
        <v>6439</v>
      </c>
      <c r="F326" t="n">
        <v>6139</v>
      </c>
    </row>
    <row r="327">
      <c r="A327" t="n">
        <v>20</v>
      </c>
      <c r="B327" t="n">
        <v>14919</v>
      </c>
      <c r="C327" t="n">
        <v>14319</v>
      </c>
      <c r="D327" t="n">
        <v>13719</v>
      </c>
      <c r="E327" t="n">
        <v>13119</v>
      </c>
      <c r="F327" t="n">
        <v>12519</v>
      </c>
    </row>
    <row r="328">
      <c r="A328" t="n">
        <v>30</v>
      </c>
      <c r="B328" t="n">
        <v>22500</v>
      </c>
      <c r="C328" t="n">
        <v>21600</v>
      </c>
      <c r="D328" t="n">
        <v>20700</v>
      </c>
      <c r="E328" t="n">
        <v>19800</v>
      </c>
      <c r="F328" t="n">
        <v>18900</v>
      </c>
    </row>
    <row r="329">
      <c r="A329" t="n">
        <v>50</v>
      </c>
      <c r="B329" t="n">
        <v>37661</v>
      </c>
      <c r="C329" t="n">
        <v>36161</v>
      </c>
      <c r="D329" t="n">
        <v>34661</v>
      </c>
      <c r="E329" t="n">
        <v>33161</v>
      </c>
      <c r="F329" t="n">
        <v>31661</v>
      </c>
    </row>
    <row r="330">
      <c r="A330" t="n">
        <v>75</v>
      </c>
      <c r="B330" t="n">
        <v>56612</v>
      </c>
      <c r="C330" t="n">
        <v>54362</v>
      </c>
      <c r="D330" t="n">
        <v>52112</v>
      </c>
      <c r="E330" t="n">
        <v>49862</v>
      </c>
      <c r="F330" t="n">
        <v>47612</v>
      </c>
    </row>
    <row r="331">
      <c r="A331" t="n">
        <v>100</v>
      </c>
      <c r="B331" t="n">
        <v>75563</v>
      </c>
      <c r="C331" t="n">
        <v>72563</v>
      </c>
      <c r="D331" t="n">
        <v>69563</v>
      </c>
      <c r="E331" t="n">
        <v>66563</v>
      </c>
      <c r="F331" t="n">
        <v>63563</v>
      </c>
    </row>
    <row r="333">
      <c r="A333" s="6" t="inlineStr">
        <is>
          <t>7) أهمية متوسط قيمة الطلب (AOV)</t>
        </is>
      </c>
    </row>
    <row r="334">
      <c r="A334" t="inlineStr">
        <is>
          <t>AOV (HS)</t>
        </is>
      </c>
      <c r="B334" t="inlineStr">
        <is>
          <t>التوصيل</t>
        </is>
      </c>
      <c r="C334" t="inlineStr">
        <is>
          <t>التوصيل ÷ السلة</t>
        </is>
      </c>
      <c r="D334" t="inlineStr">
        <is>
          <t>الصافي</t>
        </is>
      </c>
      <c r="E334" t="inlineStr">
        <is>
          <t>يتبقى/100 ريال</t>
        </is>
      </c>
      <c r="F334" t="inlineStr">
        <is>
          <t>CM</t>
        </is>
      </c>
      <c r="G334" t="inlineStr">
        <is>
          <t>CM لكل 100 ريال</t>
        </is>
      </c>
      <c r="H334" t="inlineStr">
        <is>
          <t>CM%</t>
        </is>
      </c>
      <c r="I334" t="inlineStr">
        <is>
          <t>التصنيف</t>
        </is>
      </c>
      <c r="J334" t="inlineStr">
        <is>
          <t>CM% مع HPlus</t>
        </is>
      </c>
      <c r="K334" t="inlineStr">
        <is>
          <t>التصنيف HPlus</t>
        </is>
      </c>
    </row>
    <row r="335">
      <c r="A335" t="n">
        <v>30</v>
      </c>
      <c r="B335" t="n">
        <v>7</v>
      </c>
      <c r="C335" t="inlineStr">
        <is>
          <t>23.3%</t>
        </is>
      </c>
      <c r="D335" t="n">
        <v>12.04</v>
      </c>
      <c r="E335" t="n">
        <v>40.1</v>
      </c>
      <c r="F335" t="n">
        <v>3.08</v>
      </c>
      <c r="G335" t="n">
        <v>10.3</v>
      </c>
      <c r="H335" t="inlineStr">
        <is>
          <t>11.8%</t>
        </is>
      </c>
      <c r="I335" t="inlineStr">
        <is>
          <t>🔴 أحمر</t>
        </is>
      </c>
      <c r="J335" t="inlineStr">
        <is>
          <t>-3.5%</t>
        </is>
      </c>
      <c r="K335" t="inlineStr">
        <is>
          <t>🔴 أحمر</t>
        </is>
      </c>
    </row>
    <row r="336">
      <c r="A336" t="n">
        <v>40</v>
      </c>
      <c r="B336" t="n">
        <v>8</v>
      </c>
      <c r="C336" t="inlineStr">
        <is>
          <t>20.0%</t>
        </is>
      </c>
      <c r="D336" t="n">
        <v>17.38</v>
      </c>
      <c r="E336" t="n">
        <v>43.5</v>
      </c>
      <c r="F336" t="n">
        <v>6.11</v>
      </c>
      <c r="G336" t="n">
        <v>15.3</v>
      </c>
      <c r="H336" t="inlineStr">
        <is>
          <t>17.6%</t>
        </is>
      </c>
      <c r="I336" t="inlineStr">
        <is>
          <t>🟡 أصفر</t>
        </is>
      </c>
      <c r="J336" t="inlineStr">
        <is>
          <t>6.1%</t>
        </is>
      </c>
      <c r="K336" t="inlineStr">
        <is>
          <t>🔴 أحمر</t>
        </is>
      </c>
    </row>
    <row r="337">
      <c r="A337" t="n">
        <v>50</v>
      </c>
      <c r="B337" t="n">
        <v>9</v>
      </c>
      <c r="C337" t="inlineStr">
        <is>
          <t>18.0%</t>
        </is>
      </c>
      <c r="D337" t="n">
        <v>22.73</v>
      </c>
      <c r="E337" t="n">
        <v>45.5</v>
      </c>
      <c r="F337" t="n">
        <v>9.130000000000001</v>
      </c>
      <c r="G337" t="n">
        <v>18.3</v>
      </c>
      <c r="H337" t="inlineStr">
        <is>
          <t>21.0%</t>
        </is>
      </c>
      <c r="I337" t="inlineStr">
        <is>
          <t>🟡 أصفر</t>
        </is>
      </c>
      <c r="J337" t="inlineStr">
        <is>
          <t>11.8%</t>
        </is>
      </c>
      <c r="K337" t="inlineStr">
        <is>
          <t>🔴 أحمر</t>
        </is>
      </c>
    </row>
    <row r="338">
      <c r="A338" t="n">
        <v>60</v>
      </c>
      <c r="B338" t="n">
        <v>11</v>
      </c>
      <c r="C338" t="inlineStr">
        <is>
          <t>18.3%</t>
        </is>
      </c>
      <c r="D338" t="n">
        <v>27.07</v>
      </c>
      <c r="E338" t="n">
        <v>45.1</v>
      </c>
      <c r="F338" t="n">
        <v>11.16</v>
      </c>
      <c r="G338" t="n">
        <v>18.6</v>
      </c>
      <c r="H338" t="inlineStr">
        <is>
          <t>21.4%</t>
        </is>
      </c>
      <c r="I338" t="inlineStr">
        <is>
          <t>🟡 أصفر</t>
        </is>
      </c>
      <c r="J338" t="inlineStr">
        <is>
          <t>13.7%</t>
        </is>
      </c>
      <c r="K338" t="inlineStr">
        <is>
          <t>🔴 أحمر</t>
        </is>
      </c>
    </row>
    <row r="339">
      <c r="A339" t="n">
        <v>80</v>
      </c>
      <c r="B339" t="n">
        <v>13</v>
      </c>
      <c r="C339" t="inlineStr">
        <is>
          <t>16.2%</t>
        </is>
      </c>
      <c r="D339" t="n">
        <v>37.77</v>
      </c>
      <c r="E339" t="n">
        <v>47.2</v>
      </c>
      <c r="F339" t="n">
        <v>17.21</v>
      </c>
      <c r="G339" t="n">
        <v>21.5</v>
      </c>
      <c r="H339" t="inlineStr">
        <is>
          <t>24.7%</t>
        </is>
      </c>
      <c r="I339" t="inlineStr">
        <is>
          <t>🟡 أصفر</t>
        </is>
      </c>
      <c r="J339" t="inlineStr">
        <is>
          <t>19.0%</t>
        </is>
      </c>
      <c r="K339" t="inlineStr">
        <is>
          <t>🟡 أصفر</t>
        </is>
      </c>
    </row>
    <row r="340">
      <c r="A340" t="n">
        <v>100</v>
      </c>
      <c r="B340" t="n">
        <v>13</v>
      </c>
      <c r="C340" t="inlineStr">
        <is>
          <t>13.0%</t>
        </is>
      </c>
      <c r="D340" t="n">
        <v>50.46</v>
      </c>
      <c r="E340" t="n">
        <v>50.5</v>
      </c>
      <c r="F340" t="n">
        <v>25.27</v>
      </c>
      <c r="G340" t="n">
        <v>25.3</v>
      </c>
      <c r="H340" t="inlineStr">
        <is>
          <t>29.1%</t>
        </is>
      </c>
      <c r="I340" t="inlineStr">
        <is>
          <t>🟡 أصفر</t>
        </is>
      </c>
      <c r="J340" t="inlineStr">
        <is>
          <t>24.5%</t>
        </is>
      </c>
      <c r="K340" t="inlineStr">
        <is>
          <t>🟡 أصفر</t>
        </is>
      </c>
    </row>
    <row r="341">
      <c r="A341" t="n">
        <v>120</v>
      </c>
      <c r="B341" t="n">
        <v>13</v>
      </c>
      <c r="C341" t="inlineStr">
        <is>
          <t>10.8%</t>
        </is>
      </c>
      <c r="D341" t="n">
        <v>63.15</v>
      </c>
      <c r="E341" t="n">
        <v>52.6</v>
      </c>
      <c r="F341" t="n">
        <v>33.32</v>
      </c>
      <c r="G341" t="n">
        <v>27.8</v>
      </c>
      <c r="H341" t="inlineStr">
        <is>
          <t>31.9%</t>
        </is>
      </c>
      <c r="I341" t="inlineStr">
        <is>
          <t>🟢 أخضر</t>
        </is>
      </c>
      <c r="J341" t="inlineStr">
        <is>
          <t>28.1%</t>
        </is>
      </c>
      <c r="K341" t="inlineStr">
        <is>
          <t>🟡 أصفر</t>
        </is>
      </c>
    </row>
    <row r="342">
      <c r="A342" t="n">
        <v>150</v>
      </c>
      <c r="B342" t="n">
        <v>13</v>
      </c>
      <c r="C342" t="inlineStr">
        <is>
          <t>8.7%</t>
        </is>
      </c>
      <c r="D342" t="n">
        <v>82.18000000000001</v>
      </c>
      <c r="E342" t="n">
        <v>54.8</v>
      </c>
      <c r="F342" t="n">
        <v>45.4</v>
      </c>
      <c r="G342" t="n">
        <v>30.3</v>
      </c>
      <c r="H342" t="inlineStr">
        <is>
          <t>34.8%</t>
        </is>
      </c>
      <c r="I342" t="inlineStr">
        <is>
          <t>🟢 أخضر</t>
        </is>
      </c>
      <c r="J342" t="inlineStr">
        <is>
          <t>31.7%</t>
        </is>
      </c>
      <c r="K342" t="inlineStr">
        <is>
          <t>🟢 أخضر</t>
        </is>
      </c>
    </row>
    <row r="343">
      <c r="A343" t="inlineStr">
        <is>
          <t>المنطقة</t>
        </is>
      </c>
      <c r="B343" t="inlineStr">
        <is>
          <t>الشرط</t>
        </is>
      </c>
      <c r="C343" t="inlineStr">
        <is>
          <t>AOV</t>
        </is>
      </c>
    </row>
    <row r="344">
      <c r="A344" t="inlineStr">
        <is>
          <t>🔴 خطرة</t>
        </is>
      </c>
      <c r="B344" t="inlineStr">
        <is>
          <t>CM% &lt; 15% بدون HPlus</t>
        </is>
      </c>
      <c r="C344" t="inlineStr">
        <is>
          <t>أقل من ~34 ريال</t>
        </is>
      </c>
    </row>
    <row r="345">
      <c r="A345" t="inlineStr">
        <is>
          <t>🔴 خطرة لو HPlus</t>
        </is>
      </c>
      <c r="B345" t="inlineStr">
        <is>
          <t>CM% &lt; 15% مع HPlus كاملة</t>
        </is>
      </c>
      <c r="C345" t="inlineStr">
        <is>
          <t>أقل من ~56 ريال</t>
        </is>
      </c>
    </row>
    <row r="346">
      <c r="A346" t="inlineStr">
        <is>
          <t>🟡 مقبولة</t>
        </is>
      </c>
      <c r="B346" t="inlineStr">
        <is>
          <t>15% ≤ CM% &lt; 30%</t>
        </is>
      </c>
      <c r="C346" t="inlineStr">
        <is>
          <t>~34–106 ريال (HPlus: ~56–134)</t>
        </is>
      </c>
    </row>
    <row r="347">
      <c r="A347" t="inlineStr">
        <is>
          <t>🟢 قوية</t>
        </is>
      </c>
      <c r="B347" t="inlineStr">
        <is>
          <t>CM% ≥ 30%</t>
        </is>
      </c>
      <c r="C347" t="inlineStr">
        <is>
          <t>≥ ~106 ريال (HPlus: ≥ ~134)</t>
        </is>
      </c>
    </row>
    <row r="349">
      <c r="A349" s="6" t="inlineStr">
        <is>
          <t>8) هندسة المنيو</t>
        </is>
      </c>
    </row>
    <row r="350">
      <c r="A350" t="inlineStr">
        <is>
          <t>الإجراء</t>
        </is>
      </c>
      <c r="B350" t="inlineStr">
        <is>
          <t>الأصناف (حسب سعر HS)</t>
        </is>
      </c>
      <c r="C350" t="inlineStr">
        <is>
          <t>السبب الرقمي</t>
        </is>
      </c>
    </row>
    <row r="351">
      <c r="A351" t="inlineStr">
        <is>
          <t>⛔ **تجنب كبيع منفرد** (تُباع داخل باقات فقط)</t>
        </is>
      </c>
      <c r="B351" t="inlineStr">
        <is>
          <t>سلطة خضراء، سلطة زبادي خيار، زبادي، سحاوق، حبحب، زبادي مصلح، دقيق، خمير، بيبسي، حمضيات، سفن اب، لبن المراعى، ماء</t>
        </is>
      </c>
      <c r="C351" t="inlineStr">
        <is>
          <t>الصافي سالب قبل أي تكلفة لو طُلبت منفردة</t>
        </is>
      </c>
    </row>
    <row r="352">
      <c r="A352" t="inlineStr">
        <is>
          <t>📦 **ضمّ إلى باقات / حد أدنى للسلة**</t>
        </is>
      </c>
      <c r="B352" t="inlineStr">
        <is>
          <t>مرسه عادي، فتة حديدي، ملوخية، مصقعه، مشكل ميفى، قوار، رز، لبة أمي، سلطه شرائح، بسباس</t>
        </is>
      </c>
      <c r="C352" t="inlineStr">
        <is>
          <t>صافيها 0.6–2.9 ريال لا يغطي التغليف (2 ريال) ولا الطعام</t>
        </is>
      </c>
    </row>
    <row r="353">
      <c r="A353" t="inlineStr">
        <is>
          <t>🔁 **إعادة تسعير + باقة**</t>
        </is>
      </c>
      <c r="B353" t="inlineStr">
        <is>
          <t>ربع شواية مع الرز، نص شواية مع الرز، نص مضغوط، نص ميفى مع الرز، نص شواية سادة، نص ميفى سادة، نص مقلوبه، لحوح مكشن، مرسه بلدي، مرسة دخن، شفوت، مكشن اندومي، حسيه خمير، حسيه فرق خمير، حيسية فرق لحوح، مفالت</t>
        </is>
      </c>
      <c r="C353" t="inlineStr">
        <is>
          <t>سعر HS 20–40: الصافي ≈ 7–19 ريال ← CM% بين 1% و20% منفرداً (معظمها 🔴)؛ يحتاج رفع السعر أو إدخاله في وجبة</t>
        </is>
      </c>
    </row>
    <row r="354">
      <c r="A354" t="inlineStr">
        <is>
          <t>✅ **بيع عادي مع حد أدنى للسلة**</t>
        </is>
      </c>
      <c r="B354" t="inlineStr">
        <is>
          <t>برمة لحم مع الرز، حبه شوايه مع الرز، حبه مقلوبه مع الرز، حبة ميفى، حبة مضغوط، مرقوق بيتنا، مكشن سمك، حسيه لحم خمير، حسيه سمك، حسيه لحوح لحم، حسيه دقيق لحم</t>
        </is>
      </c>
      <c r="C354" t="inlineStr">
        <is>
          <t>سعر HS 40–70 ← شرائح 8–11 ريال؛ 🟡 (CM% ≈ 19–25%)</t>
        </is>
      </c>
    </row>
    <row r="355">
      <c r="A355" t="inlineStr">
        <is>
          <t>⭐ **أبطال/وجبات عائلية (ركّز عليها)**</t>
        </is>
      </c>
      <c r="B355" t="inlineStr">
        <is>
          <t>نفر حنيد بيتنا، حنيذ جيزاني، كبسة لحم، مغش لحم، مرقوق بيتنا لحم، حسيه بيتنا (عزبه)</t>
        </is>
      </c>
      <c r="C355" t="inlineStr">
        <is>
          <t>سعر HS ≥ 70: توصيل 11–13 ثابت يتوزع على قيمة كبيرة؛ أعلى CM مطلقاً</t>
        </is>
      </c>
    </row>
    <row r="357">
      <c r="A357" s="6" t="inlineStr">
        <is>
          <t>منطق الباقات لرفع AOV دون تضخيم أسعار الأصناف</t>
        </is>
      </c>
    </row>
    <row r="358">
      <c r="A358" t="inlineStr">
        <is>
          <t>الباقة (مجموع أسعار D)</t>
        </is>
      </c>
      <c r="B358" t="inlineStr">
        <is>
          <t>سعر مباشر</t>
        </is>
      </c>
      <c r="C358" t="inlineStr">
        <is>
          <t>الزيادة</t>
        </is>
      </c>
      <c r="D358" t="inlineStr">
        <is>
          <t>سعر HS</t>
        </is>
      </c>
      <c r="E358" t="inlineStr">
        <is>
          <t>التوصيل</t>
        </is>
      </c>
      <c r="F358" t="inlineStr">
        <is>
          <t>الصافي</t>
        </is>
      </c>
      <c r="G358" t="inlineStr">
        <is>
          <t>يتبقى/100</t>
        </is>
      </c>
      <c r="H358" t="inlineStr">
        <is>
          <t>CM</t>
        </is>
      </c>
      <c r="I358" t="inlineStr">
        <is>
          <t>CM%</t>
        </is>
      </c>
      <c r="J358" t="inlineStr">
        <is>
          <t>التصنيف</t>
        </is>
      </c>
    </row>
    <row r="359">
      <c r="A359" t="inlineStr">
        <is>
          <t>فردي دجاج (3 أصناف)</t>
        </is>
      </c>
      <c r="B359" t="n">
        <v>38</v>
      </c>
      <c r="C359" t="inlineStr">
        <is>
          <t>+20%</t>
        </is>
      </c>
      <c r="D359" t="n">
        <v>45.6</v>
      </c>
      <c r="E359" t="n">
        <v>8</v>
      </c>
      <c r="F359" t="n">
        <v>20.94</v>
      </c>
      <c r="G359" t="n">
        <v>45.9</v>
      </c>
      <c r="H359" t="n">
        <v>8.359999999999999</v>
      </c>
      <c r="I359" t="inlineStr">
        <is>
          <t>21.1%</t>
        </is>
      </c>
      <c r="J359" t="inlineStr">
        <is>
          <t>🟡 أصفر</t>
        </is>
      </c>
    </row>
    <row r="360">
      <c r="A360" t="inlineStr">
        <is>
          <t>فردي دجاج (3 أصناف)</t>
        </is>
      </c>
      <c r="B360" t="n">
        <v>38</v>
      </c>
      <c r="C360" t="inlineStr">
        <is>
          <t>+25%</t>
        </is>
      </c>
      <c r="D360" t="n">
        <v>47.5</v>
      </c>
      <c r="E360" t="n">
        <v>8</v>
      </c>
      <c r="F360" t="n">
        <v>22.14</v>
      </c>
      <c r="G360" t="n">
        <v>46.6</v>
      </c>
      <c r="H360" t="n">
        <v>9.57</v>
      </c>
      <c r="I360" t="inlineStr">
        <is>
          <t>23.2%</t>
        </is>
      </c>
      <c r="J360" t="inlineStr">
        <is>
          <t>🟡 أصفر</t>
        </is>
      </c>
    </row>
    <row r="361">
      <c r="A361" t="inlineStr">
        <is>
          <t>زوجي لحم (3 أصناف)</t>
        </is>
      </c>
      <c r="B361" t="n">
        <v>110</v>
      </c>
      <c r="C361" t="inlineStr">
        <is>
          <t>+20%</t>
        </is>
      </c>
      <c r="D361" t="n">
        <v>132</v>
      </c>
      <c r="E361" t="n">
        <v>13</v>
      </c>
      <c r="F361" t="n">
        <v>70.76000000000001</v>
      </c>
      <c r="G361" t="n">
        <v>53.6</v>
      </c>
      <c r="H361" t="n">
        <v>38.15</v>
      </c>
      <c r="I361" t="inlineStr">
        <is>
          <t>33.2%</t>
        </is>
      </c>
      <c r="J361" t="inlineStr">
        <is>
          <t>🟢 أخضر</t>
        </is>
      </c>
    </row>
    <row r="362">
      <c r="A362" t="inlineStr">
        <is>
          <t>زوجي لحم (3 أصناف)</t>
        </is>
      </c>
      <c r="B362" t="n">
        <v>110</v>
      </c>
      <c r="C362" t="inlineStr">
        <is>
          <t>+25%</t>
        </is>
      </c>
      <c r="D362" t="n">
        <v>137.5</v>
      </c>
      <c r="E362" t="n">
        <v>13</v>
      </c>
      <c r="F362" t="n">
        <v>74.25</v>
      </c>
      <c r="G362" t="n">
        <v>54</v>
      </c>
      <c r="H362" t="n">
        <v>41.64</v>
      </c>
      <c r="I362" t="inlineStr">
        <is>
          <t>34.8%</t>
        </is>
      </c>
      <c r="J362" t="inlineStr">
        <is>
          <t>🟢 أخضر</t>
        </is>
      </c>
    </row>
    <row r="363">
      <c r="A363" t="inlineStr">
        <is>
          <t>عائلي (9 أصناف)</t>
        </is>
      </c>
      <c r="B363" t="n">
        <v>196</v>
      </c>
      <c r="C363" t="inlineStr">
        <is>
          <t>+20%</t>
        </is>
      </c>
      <c r="D363" t="n">
        <v>235.2</v>
      </c>
      <c r="E363" t="n">
        <v>13</v>
      </c>
      <c r="F363" t="n">
        <v>136.25</v>
      </c>
      <c r="G363" t="n">
        <v>57.9</v>
      </c>
      <c r="H363" t="n">
        <v>79.70999999999999</v>
      </c>
      <c r="I363" t="inlineStr">
        <is>
          <t>39.0%</t>
        </is>
      </c>
      <c r="J363" t="inlineStr">
        <is>
          <t>🟢 أخضر</t>
        </is>
      </c>
    </row>
    <row r="364">
      <c r="A364" t="inlineStr">
        <is>
          <t>عائلي (9 أصناف)</t>
        </is>
      </c>
      <c r="B364" t="n">
        <v>196</v>
      </c>
      <c r="C364" t="inlineStr">
        <is>
          <t>+25%</t>
        </is>
      </c>
      <c r="D364" t="n">
        <v>245</v>
      </c>
      <c r="E364" t="n">
        <v>13</v>
      </c>
      <c r="F364" t="n">
        <v>142.47</v>
      </c>
      <c r="G364" t="n">
        <v>58.2</v>
      </c>
      <c r="H364" t="n">
        <v>85.93000000000001</v>
      </c>
      <c r="I364" t="inlineStr">
        <is>
          <t>40.3%</t>
        </is>
      </c>
      <c r="J364" t="inlineStr">
        <is>
          <t>🟢 أخضر</t>
        </is>
      </c>
    </row>
    <row r="366">
      <c r="A366" s="6" t="inlineStr">
        <is>
          <t>9) مقارنة استراتيجيات التسعير</t>
        </is>
      </c>
    </row>
    <row r="367">
      <c r="A367" t="inlineStr">
        <is>
          <t>السلة</t>
        </is>
      </c>
      <c r="B367" t="inlineStr">
        <is>
          <t>الاستراتيجية</t>
        </is>
      </c>
      <c r="C367" t="inlineStr">
        <is>
          <t>سعر مباشر</t>
        </is>
      </c>
      <c r="D367" t="inlineStr">
        <is>
          <t>سعر العميل في HS</t>
        </is>
      </c>
      <c r="E367" t="inlineStr">
        <is>
          <t>علاوة على العميل (ريال)</t>
        </is>
      </c>
      <c r="F367" t="inlineStr">
        <is>
          <t>الصافي</t>
        </is>
      </c>
      <c r="G367" t="inlineStr">
        <is>
          <t>حماية الإيراد (الصافي÷مباشر)</t>
        </is>
      </c>
      <c r="H367" t="inlineStr">
        <is>
          <t>CM</t>
        </is>
      </c>
      <c r="I367" t="inlineStr">
        <is>
          <t>CM%</t>
        </is>
      </c>
      <c r="J367" t="inlineStr">
        <is>
          <t>التصنيف</t>
        </is>
      </c>
      <c r="K367" t="inlineStr">
        <is>
          <t>التصنيف HPlus</t>
        </is>
      </c>
    </row>
    <row r="368">
      <c r="A368" t="inlineStr">
        <is>
          <t>فردي دجاج</t>
        </is>
      </c>
      <c r="B368" t="inlineStr">
        <is>
          <t>A: نفس السعر</t>
        </is>
      </c>
      <c r="C368" t="n">
        <v>38</v>
      </c>
      <c r="D368" t="n">
        <v>38</v>
      </c>
      <c r="E368" t="n">
        <v>0</v>
      </c>
      <c r="F368" t="n">
        <v>17.11</v>
      </c>
      <c r="G368" t="inlineStr">
        <is>
          <t>52%</t>
        </is>
      </c>
      <c r="H368" t="n">
        <v>4.54</v>
      </c>
      <c r="I368" t="inlineStr">
        <is>
          <t>13.7%</t>
        </is>
      </c>
      <c r="J368" t="inlineStr">
        <is>
          <t>🔴 أحمر</t>
        </is>
      </c>
      <c r="K368" t="inlineStr">
        <is>
          <t>🔴 أحمر</t>
        </is>
      </c>
    </row>
    <row r="369">
      <c r="A369" t="inlineStr">
        <is>
          <t>فردي دجاج</t>
        </is>
      </c>
      <c r="B369" t="inlineStr">
        <is>
          <t>B: +10%</t>
        </is>
      </c>
      <c r="C369" t="n">
        <v>38</v>
      </c>
      <c r="D369" t="n">
        <v>41.8</v>
      </c>
      <c r="E369" t="n">
        <v>3.8</v>
      </c>
      <c r="F369" t="n">
        <v>18.52</v>
      </c>
      <c r="G369" t="inlineStr">
        <is>
          <t>56%</t>
        </is>
      </c>
      <c r="H369" t="n">
        <v>5.95</v>
      </c>
      <c r="I369" t="inlineStr">
        <is>
          <t>16.4%</t>
        </is>
      </c>
      <c r="J369" t="inlineStr">
        <is>
          <t>🟡 أصفر</t>
        </is>
      </c>
      <c r="K369" t="inlineStr">
        <is>
          <t>🔴 أحمر</t>
        </is>
      </c>
    </row>
    <row r="370">
      <c r="A370" t="inlineStr">
        <is>
          <t>فردي دجاج</t>
        </is>
      </c>
      <c r="B370" t="inlineStr">
        <is>
          <t>C: +20%</t>
        </is>
      </c>
      <c r="C370" t="n">
        <v>38</v>
      </c>
      <c r="D370" t="n">
        <v>45.6</v>
      </c>
      <c r="E370" t="n">
        <v>7.6</v>
      </c>
      <c r="F370" t="n">
        <v>20.94</v>
      </c>
      <c r="G370" t="inlineStr">
        <is>
          <t>63%</t>
        </is>
      </c>
      <c r="H370" t="n">
        <v>8.359999999999999</v>
      </c>
      <c r="I370" t="inlineStr">
        <is>
          <t>21.1%</t>
        </is>
      </c>
      <c r="J370" t="inlineStr">
        <is>
          <t>🟡 أصفر</t>
        </is>
      </c>
      <c r="K370" t="inlineStr">
        <is>
          <t>🔴 أحمر</t>
        </is>
      </c>
    </row>
    <row r="371">
      <c r="A371" t="inlineStr">
        <is>
          <t>فردي دجاج</t>
        </is>
      </c>
      <c r="B371" t="inlineStr">
        <is>
          <t>D: +25%</t>
        </is>
      </c>
      <c r="C371" t="n">
        <v>38</v>
      </c>
      <c r="D371" t="n">
        <v>47.5</v>
      </c>
      <c r="E371" t="n">
        <v>9.5</v>
      </c>
      <c r="F371" t="n">
        <v>22.14</v>
      </c>
      <c r="G371" t="inlineStr">
        <is>
          <t>67%</t>
        </is>
      </c>
      <c r="H371" t="n">
        <v>9.57</v>
      </c>
      <c r="I371" t="inlineStr">
        <is>
          <t>23.2%</t>
        </is>
      </c>
      <c r="J371" t="inlineStr">
        <is>
          <t>🟡 أصفر</t>
        </is>
      </c>
      <c r="K371" t="inlineStr">
        <is>
          <t>🔴 أحمر</t>
        </is>
      </c>
    </row>
    <row r="372">
      <c r="A372" t="inlineStr">
        <is>
          <t>فردي دجاج</t>
        </is>
      </c>
      <c r="B372" t="inlineStr">
        <is>
          <t>E: +30%</t>
        </is>
      </c>
      <c r="C372" t="n">
        <v>38</v>
      </c>
      <c r="D372" t="n">
        <v>49.4</v>
      </c>
      <c r="E372" t="n">
        <v>11.4</v>
      </c>
      <c r="F372" t="n">
        <v>23.35</v>
      </c>
      <c r="G372" t="inlineStr">
        <is>
          <t>71%</t>
        </is>
      </c>
      <c r="H372" t="n">
        <v>10.77</v>
      </c>
      <c r="I372" t="inlineStr">
        <is>
          <t>25.1%</t>
        </is>
      </c>
      <c r="J372" t="inlineStr">
        <is>
          <t>🟡 أصفر</t>
        </is>
      </c>
      <c r="K372" t="inlineStr">
        <is>
          <t>🟡 أصفر</t>
        </is>
      </c>
    </row>
    <row r="373">
      <c r="A373" t="inlineStr">
        <is>
          <t>فردي دجاج</t>
        </is>
      </c>
      <c r="B373" t="inlineStr">
        <is>
          <t>F: +35%</t>
        </is>
      </c>
      <c r="C373" t="n">
        <v>38</v>
      </c>
      <c r="D373" t="n">
        <v>51.3</v>
      </c>
      <c r="E373" t="n">
        <v>13.3</v>
      </c>
      <c r="F373" t="n">
        <v>23.55</v>
      </c>
      <c r="G373" t="inlineStr">
        <is>
          <t>71%</t>
        </is>
      </c>
      <c r="H373" t="n">
        <v>10.98</v>
      </c>
      <c r="I373" t="inlineStr">
        <is>
          <t>24.6%</t>
        </is>
      </c>
      <c r="J373" t="inlineStr">
        <is>
          <t>🟡 أصفر</t>
        </is>
      </c>
      <c r="K373" t="inlineStr">
        <is>
          <t>🟡 أصفر</t>
        </is>
      </c>
    </row>
    <row r="374">
      <c r="A374" t="inlineStr">
        <is>
          <t>فردي دجاج</t>
        </is>
      </c>
      <c r="B374" t="inlineStr">
        <is>
          <t>G: ديناميكي</t>
        </is>
      </c>
      <c r="C374" t="n">
        <v>38</v>
      </c>
      <c r="D374" t="n">
        <v>46.95</v>
      </c>
      <c r="E374" t="n">
        <v>8.949999999999999</v>
      </c>
      <c r="F374" t="n">
        <v>21.79</v>
      </c>
      <c r="G374" t="inlineStr">
        <is>
          <t>66%</t>
        </is>
      </c>
      <c r="H374" t="n">
        <v>9.220000000000001</v>
      </c>
      <c r="I374" t="inlineStr">
        <is>
          <t>22.6%</t>
        </is>
      </c>
      <c r="J374" t="inlineStr">
        <is>
          <t>🟡 أصفر</t>
        </is>
      </c>
      <c r="K374" t="inlineStr">
        <is>
          <t>🔴 أحمر</t>
        </is>
      </c>
    </row>
    <row r="375">
      <c r="A375" t="inlineStr">
        <is>
          <t>زوجي لحم</t>
        </is>
      </c>
      <c r="B375" t="inlineStr">
        <is>
          <t>A: نفس السعر</t>
        </is>
      </c>
      <c r="C375" t="n">
        <v>110</v>
      </c>
      <c r="D375" t="n">
        <v>110</v>
      </c>
      <c r="E375" t="n">
        <v>0</v>
      </c>
      <c r="F375" t="n">
        <v>56.8</v>
      </c>
      <c r="G375" t="inlineStr">
        <is>
          <t>59%</t>
        </is>
      </c>
      <c r="H375" t="n">
        <v>24.19</v>
      </c>
      <c r="I375" t="inlineStr">
        <is>
          <t>25.3%</t>
        </is>
      </c>
      <c r="J375" t="inlineStr">
        <is>
          <t>🟡 أصفر</t>
        </is>
      </c>
      <c r="K375" t="inlineStr">
        <is>
          <t>🟡 أصفر</t>
        </is>
      </c>
    </row>
    <row r="376">
      <c r="A376" t="inlineStr">
        <is>
          <t>زوجي لحم</t>
        </is>
      </c>
      <c r="B376" t="inlineStr">
        <is>
          <t>B: +10%</t>
        </is>
      </c>
      <c r="C376" t="n">
        <v>110</v>
      </c>
      <c r="D376" t="n">
        <v>121</v>
      </c>
      <c r="E376" t="n">
        <v>11</v>
      </c>
      <c r="F376" t="n">
        <v>63.78</v>
      </c>
      <c r="G376" t="inlineStr">
        <is>
          <t>67%</t>
        </is>
      </c>
      <c r="H376" t="n">
        <v>31.17</v>
      </c>
      <c r="I376" t="inlineStr">
        <is>
          <t>29.6%</t>
        </is>
      </c>
      <c r="J376" t="inlineStr">
        <is>
          <t>🟡 أصفر</t>
        </is>
      </c>
      <c r="K376" t="inlineStr">
        <is>
          <t>🟡 أصفر</t>
        </is>
      </c>
    </row>
    <row r="377">
      <c r="A377" t="inlineStr">
        <is>
          <t>زوجي لحم</t>
        </is>
      </c>
      <c r="B377" t="inlineStr">
        <is>
          <t>C: +20%</t>
        </is>
      </c>
      <c r="C377" t="n">
        <v>110</v>
      </c>
      <c r="D377" t="n">
        <v>132</v>
      </c>
      <c r="E377" t="n">
        <v>22</v>
      </c>
      <c r="F377" t="n">
        <v>70.76000000000001</v>
      </c>
      <c r="G377" t="inlineStr">
        <is>
          <t>74%</t>
        </is>
      </c>
      <c r="H377" t="n">
        <v>38.15</v>
      </c>
      <c r="I377" t="inlineStr">
        <is>
          <t>33.2%</t>
        </is>
      </c>
      <c r="J377" t="inlineStr">
        <is>
          <t>🟢 أخضر</t>
        </is>
      </c>
      <c r="K377" t="inlineStr">
        <is>
          <t>🟡 أصفر</t>
        </is>
      </c>
    </row>
    <row r="378">
      <c r="A378" t="inlineStr">
        <is>
          <t>زوجي لحم</t>
        </is>
      </c>
      <c r="B378" t="inlineStr">
        <is>
          <t>D: +25%</t>
        </is>
      </c>
      <c r="C378" t="n">
        <v>110</v>
      </c>
      <c r="D378" t="n">
        <v>137.5</v>
      </c>
      <c r="E378" t="n">
        <v>27.5</v>
      </c>
      <c r="F378" t="n">
        <v>74.25</v>
      </c>
      <c r="G378" t="inlineStr">
        <is>
          <t>78%</t>
        </is>
      </c>
      <c r="H378" t="n">
        <v>41.64</v>
      </c>
      <c r="I378" t="inlineStr">
        <is>
          <t>34.8%</t>
        </is>
      </c>
      <c r="J378" t="inlineStr">
        <is>
          <t>🟢 أخضر</t>
        </is>
      </c>
      <c r="K378" t="inlineStr">
        <is>
          <t>🟢 أخضر</t>
        </is>
      </c>
    </row>
    <row r="379">
      <c r="A379" t="inlineStr">
        <is>
          <t>زوجي لحم</t>
        </is>
      </c>
      <c r="B379" t="inlineStr">
        <is>
          <t>E: +30%</t>
        </is>
      </c>
      <c r="C379" t="n">
        <v>110</v>
      </c>
      <c r="D379" t="n">
        <v>143</v>
      </c>
      <c r="E379" t="n">
        <v>33</v>
      </c>
      <c r="F379" t="n">
        <v>77.73999999999999</v>
      </c>
      <c r="G379" t="inlineStr">
        <is>
          <t>81%</t>
        </is>
      </c>
      <c r="H379" t="n">
        <v>45.13</v>
      </c>
      <c r="I379" t="inlineStr">
        <is>
          <t>36.3%</t>
        </is>
      </c>
      <c r="J379" t="inlineStr">
        <is>
          <t>🟢 أخضر</t>
        </is>
      </c>
      <c r="K379" t="inlineStr">
        <is>
          <t>🟢 أخضر</t>
        </is>
      </c>
    </row>
    <row r="380">
      <c r="A380" t="inlineStr">
        <is>
          <t>زوجي لحم</t>
        </is>
      </c>
      <c r="B380" t="inlineStr">
        <is>
          <t>F: +35%</t>
        </is>
      </c>
      <c r="C380" t="n">
        <v>110</v>
      </c>
      <c r="D380" t="n">
        <v>148.5</v>
      </c>
      <c r="E380" t="n">
        <v>38.5</v>
      </c>
      <c r="F380" t="n">
        <v>81.23</v>
      </c>
      <c r="G380" t="inlineStr">
        <is>
          <t>85%</t>
        </is>
      </c>
      <c r="H380" t="n">
        <v>48.62</v>
      </c>
      <c r="I380" t="inlineStr">
        <is>
          <t>37.7%</t>
        </is>
      </c>
      <c r="J380" t="inlineStr">
        <is>
          <t>🟢 أخضر</t>
        </is>
      </c>
      <c r="K380" t="inlineStr">
        <is>
          <t>🟢 أخضر</t>
        </is>
      </c>
    </row>
    <row r="381">
      <c r="A381" t="inlineStr">
        <is>
          <t>زوجي لحم</t>
        </is>
      </c>
      <c r="B381" t="inlineStr">
        <is>
          <t>G: ديناميكي</t>
        </is>
      </c>
      <c r="C381" t="n">
        <v>110</v>
      </c>
      <c r="D381" t="n">
        <v>148.66</v>
      </c>
      <c r="E381" t="n">
        <v>38.66</v>
      </c>
      <c r="F381" t="n">
        <v>81.33</v>
      </c>
      <c r="G381" t="inlineStr">
        <is>
          <t>85%</t>
        </is>
      </c>
      <c r="H381" t="n">
        <v>48.73</v>
      </c>
      <c r="I381" t="inlineStr">
        <is>
          <t>37.7%</t>
        </is>
      </c>
      <c r="J381" t="inlineStr">
        <is>
          <t>🟢 أخضر</t>
        </is>
      </c>
      <c r="K381" t="inlineStr">
        <is>
          <t>🟢 أخضر</t>
        </is>
      </c>
    </row>
    <row r="382">
      <c r="A382" t="inlineStr">
        <is>
          <t>عائلي</t>
        </is>
      </c>
      <c r="B382" t="inlineStr">
        <is>
          <t>A: نفس السعر</t>
        </is>
      </c>
      <c r="C382" t="n">
        <v>196</v>
      </c>
      <c r="D382" t="n">
        <v>196</v>
      </c>
      <c r="E382" t="n">
        <v>0</v>
      </c>
      <c r="F382" t="n">
        <v>111.37</v>
      </c>
      <c r="G382" t="inlineStr">
        <is>
          <t>65%</t>
        </is>
      </c>
      <c r="H382" t="n">
        <v>54.84</v>
      </c>
      <c r="I382" t="inlineStr">
        <is>
          <t>32.2%</t>
        </is>
      </c>
      <c r="J382" t="inlineStr">
        <is>
          <t>🟢 أخضر</t>
        </is>
      </c>
      <c r="K382" t="inlineStr">
        <is>
          <t>🟡 أصفر</t>
        </is>
      </c>
    </row>
    <row r="383">
      <c r="A383" t="inlineStr">
        <is>
          <t>عائلي</t>
        </is>
      </c>
      <c r="B383" t="inlineStr">
        <is>
          <t>B: +10%</t>
        </is>
      </c>
      <c r="C383" t="n">
        <v>196</v>
      </c>
      <c r="D383" t="n">
        <v>215.6</v>
      </c>
      <c r="E383" t="n">
        <v>19.6</v>
      </c>
      <c r="F383" t="n">
        <v>123.81</v>
      </c>
      <c r="G383" t="inlineStr">
        <is>
          <t>73%</t>
        </is>
      </c>
      <c r="H383" t="n">
        <v>67.27</v>
      </c>
      <c r="I383" t="inlineStr">
        <is>
          <t>35.9%</t>
        </is>
      </c>
      <c r="J383" t="inlineStr">
        <is>
          <t>🟢 أخضر</t>
        </is>
      </c>
      <c r="K383" t="inlineStr">
        <is>
          <t>🟢 أخضر</t>
        </is>
      </c>
    </row>
    <row r="384">
      <c r="A384" t="inlineStr">
        <is>
          <t>عائلي</t>
        </is>
      </c>
      <c r="B384" t="inlineStr">
        <is>
          <t>C: +20%</t>
        </is>
      </c>
      <c r="C384" t="n">
        <v>196</v>
      </c>
      <c r="D384" t="n">
        <v>235.2</v>
      </c>
      <c r="E384" t="n">
        <v>39.2</v>
      </c>
      <c r="F384" t="n">
        <v>136.25</v>
      </c>
      <c r="G384" t="inlineStr">
        <is>
          <t>80%</t>
        </is>
      </c>
      <c r="H384" t="n">
        <v>79.70999999999999</v>
      </c>
      <c r="I384" t="inlineStr">
        <is>
          <t>39.0%</t>
        </is>
      </c>
      <c r="J384" t="inlineStr">
        <is>
          <t>🟢 أخضر</t>
        </is>
      </c>
      <c r="K384" t="inlineStr">
        <is>
          <t>🟢 أخضر</t>
        </is>
      </c>
    </row>
    <row r="385">
      <c r="A385" t="inlineStr">
        <is>
          <t>عائلي</t>
        </is>
      </c>
      <c r="B385" t="inlineStr">
        <is>
          <t>D: +25%</t>
        </is>
      </c>
      <c r="C385" t="n">
        <v>196</v>
      </c>
      <c r="D385" t="n">
        <v>245</v>
      </c>
      <c r="E385" t="n">
        <v>49</v>
      </c>
      <c r="F385" t="n">
        <v>142.47</v>
      </c>
      <c r="G385" t="inlineStr">
        <is>
          <t>84%</t>
        </is>
      </c>
      <c r="H385" t="n">
        <v>85.93000000000001</v>
      </c>
      <c r="I385" t="inlineStr">
        <is>
          <t>40.3%</t>
        </is>
      </c>
      <c r="J385" t="inlineStr">
        <is>
          <t>🟢 أخضر</t>
        </is>
      </c>
      <c r="K385" t="inlineStr">
        <is>
          <t>🟢 أخضر</t>
        </is>
      </c>
    </row>
    <row r="386">
      <c r="A386" t="inlineStr">
        <is>
          <t>عائلي</t>
        </is>
      </c>
      <c r="B386" t="inlineStr">
        <is>
          <t>E: +30%</t>
        </is>
      </c>
      <c r="C386" t="n">
        <v>196</v>
      </c>
      <c r="D386" t="n">
        <v>254.8</v>
      </c>
      <c r="E386" t="n">
        <v>58.8</v>
      </c>
      <c r="F386" t="n">
        <v>148.69</v>
      </c>
      <c r="G386" t="inlineStr">
        <is>
          <t>87%</t>
        </is>
      </c>
      <c r="H386" t="n">
        <v>92.15000000000001</v>
      </c>
      <c r="I386" t="inlineStr">
        <is>
          <t>41.6%</t>
        </is>
      </c>
      <c r="J386" t="inlineStr">
        <is>
          <t>🟢 أخضر</t>
        </is>
      </c>
      <c r="K386" t="inlineStr">
        <is>
          <t>🟢 أخضر</t>
        </is>
      </c>
    </row>
    <row r="387">
      <c r="A387" t="inlineStr">
        <is>
          <t>عائلي</t>
        </is>
      </c>
      <c r="B387" t="inlineStr">
        <is>
          <t>F: +35%</t>
        </is>
      </c>
      <c r="C387" t="n">
        <v>196</v>
      </c>
      <c r="D387" t="n">
        <v>264.6</v>
      </c>
      <c r="E387" t="n">
        <v>68.59999999999999</v>
      </c>
      <c r="F387" t="n">
        <v>154.91</v>
      </c>
      <c r="G387" t="inlineStr">
        <is>
          <t>91%</t>
        </is>
      </c>
      <c r="H387" t="n">
        <v>98.37</v>
      </c>
      <c r="I387" t="inlineStr">
        <is>
          <t>42.8%</t>
        </is>
      </c>
      <c r="J387" t="inlineStr">
        <is>
          <t>🟢 أخضر</t>
        </is>
      </c>
      <c r="K387" t="inlineStr">
        <is>
          <t>🟢 أخضر</t>
        </is>
      </c>
    </row>
    <row r="388">
      <c r="A388" t="inlineStr">
        <is>
          <t>عائلي</t>
        </is>
      </c>
      <c r="B388" t="inlineStr">
        <is>
          <t>G: ديناميكي</t>
        </is>
      </c>
      <c r="C388" t="n">
        <v>196</v>
      </c>
      <c r="D388" t="n">
        <v>261.55</v>
      </c>
      <c r="E388" t="n">
        <v>65.55</v>
      </c>
      <c r="F388" t="n">
        <v>152.97</v>
      </c>
      <c r="G388" t="inlineStr">
        <is>
          <t>90%</t>
        </is>
      </c>
      <c r="H388" t="n">
        <v>96.43000000000001</v>
      </c>
      <c r="I388" t="inlineStr">
        <is>
          <t>42.4%</t>
        </is>
      </c>
      <c r="J388" t="inlineStr">
        <is>
          <t>🟢 أخضر</t>
        </is>
      </c>
      <c r="K388" t="inlineStr">
        <is>
          <t>🟢 أخضر</t>
        </is>
      </c>
    </row>
    <row r="390">
      <c r="A390" s="6" t="inlineStr">
        <is>
          <t>10) المخاطر التجارية والتعاقدية</t>
        </is>
      </c>
    </row>
    <row r="391">
      <c r="A391" t="inlineStr">
        <is>
          <t>الخطر</t>
        </is>
      </c>
      <c r="B391" t="inlineStr">
        <is>
          <t>التقييم</t>
        </is>
      </c>
      <c r="C391" t="inlineStr">
        <is>
          <t>السبب المالي</t>
        </is>
      </c>
    </row>
    <row r="392">
      <c r="A392" t="inlineStr">
        <is>
          <t>مدة العقد سنة كاملة (ص2 ثالثاً)</t>
        </is>
      </c>
      <c r="B392" t="inlineStr">
        <is>
          <t>متوسطة</t>
        </is>
      </c>
      <c r="C392" t="inlineStr">
        <is>
          <t>التزام 12 شهراً بنسب 23.5% وتوصيل ثابت؛ المطعم لا يملك إنهاءً مبكراً، فأي هامش سلبي يستمر</t>
        </is>
      </c>
    </row>
    <row r="393">
      <c r="A393" t="inlineStr">
        <is>
          <t>التجديد التلقائي + إشعار 30 يوماً</t>
        </is>
      </c>
      <c r="B393" t="inlineStr">
        <is>
          <t>متوسطة</t>
        </is>
      </c>
      <c r="C393" t="inlineStr">
        <is>
          <t>نسيان الإشعار يجدد سنة كاملة بشروط ربما عُدلت</t>
        </is>
      </c>
    </row>
    <row r="394">
      <c r="A394" t="inlineStr">
        <is>
          <t>للطرف الأول إنهاء مبكر 30 يوماً، وليس للمطعم</t>
        </is>
      </c>
      <c r="B394" t="inlineStr">
        <is>
          <t>عالية</t>
        </is>
      </c>
      <c r="C394" t="inlineStr">
        <is>
          <t>اختلال توازن: يستثمر المطعم في الطابعة والسعر والعملاء ثم يمكن إيقافه بإشعار شهر</t>
        </is>
      </c>
    </row>
    <row r="395">
      <c r="A395" t="inlineStr">
        <is>
          <t>تعديل الشروط التجارية من طرف واحد؛ ص3: نافذة فور الإرسال بالرسائل (يتعارض مع 14 يوماً ص2)</t>
        </is>
      </c>
      <c r="B395" t="inlineStr">
        <is>
          <t>عالية</t>
        </is>
      </c>
      <c r="C395" t="inlineStr">
        <is>
          <t>رفع العمولة من 21% إلى 25% يخفض المتبقي بمقدار 4 ريال من كل 100 ريال مدفوعة (≈ 4.6% من إيرادك بدون ضريبة) دون موافقة؛ والمطعم ملزم بتحديث بيانات التواصل وإلا اعتُبر مُخطراً</t>
        </is>
      </c>
    </row>
    <row r="396">
      <c r="A396" t="inlineStr">
        <is>
          <t>شرائح التوصيل ومعايير التخفيض «بإرادة منفردة» وإلزامية طوال العقد (ص6)</t>
        </is>
      </c>
      <c r="B396" t="inlineStr">
        <is>
          <t>عالية</t>
        </is>
      </c>
      <c r="C396" t="inlineStr">
        <is>
          <t>7–13 ريال ثابتة = 8%–23% من السلة؛ تغيير الشرائح أو إضافة معايير يرفعها دون سقف</t>
        </is>
      </c>
    </row>
    <row r="397">
      <c r="A397" t="inlineStr">
        <is>
          <t>فراغ: لا شريحة لسلة أقل من 30 ريال</t>
        </is>
      </c>
      <c r="B397" t="inlineStr">
        <is>
          <t>عالية</t>
        </is>
      </c>
      <c r="C397" t="inlineStr">
        <is>
          <t>طلبات الأصناف الصغيرة بلا تسعير تعاقدي → احتمال رسوم أعلى؛ تحتاج توضيحاً مكتوباً</t>
        </is>
      </c>
    </row>
    <row r="398">
      <c r="A398" t="inlineStr">
        <is>
          <t>HPlus: +4 ريال/طلب (ص6)</t>
        </is>
      </c>
      <c r="B398" t="inlineStr">
        <is>
          <t>عالية</t>
        </is>
      </c>
      <c r="C398" t="inlineStr">
        <is>
          <t>تساوي 2.7%–13% من السلة؛ عند HPlus 100% وسلة 60: CM% ينزل من 21% إلى 14% (🔴)؛ ولا تحكم للمطعم في نسبته</t>
        </is>
      </c>
    </row>
    <row r="399">
      <c r="A399" t="inlineStr">
        <is>
          <t>أساس احتساب 21%+2.5% غير محدد (قبل/بعد الضريبة؟ تشمل التوصيل؟)</t>
        </is>
      </c>
      <c r="B399" t="inlineStr">
        <is>
          <t>عالية</t>
        </is>
      </c>
      <c r="C399" t="inlineStr">
        <is>
          <t>الفرق بين التفسيرين ≈ 7 نقاط في الزيادة اللازمة (+37% مقابل +31%) وهو غير محسوم</t>
        </is>
      </c>
    </row>
    <row r="400">
      <c r="A400" t="inlineStr">
        <is>
          <t>الاشتراك 200 ريال (200 شهرياً أم إجمالاً؟) وطابعة 500</t>
        </is>
      </c>
      <c r="B400" t="inlineStr">
        <is>
          <t>منخفضة</t>
        </is>
      </c>
      <c r="C400" t="inlineStr">
        <is>
          <t>≈ 242 ريال شهرياً = أقل من 22 طلباً؛ أثره ضئيل مقارنة بالرسوم المتغيرة (إلا إن كان الحجم منخفضاً جداً)</t>
        </is>
      </c>
    </row>
    <row r="401">
      <c r="A401" t="inlineStr">
        <is>
          <t>الاستلام: 21% + خصم عميل 20% (حصة المطعم حتى 2.5) والمنصة تغيّر النسب والسقوف</t>
        </is>
      </c>
      <c r="B401" t="inlineStr">
        <is>
          <t>متوسطة</t>
        </is>
      </c>
      <c r="C401" t="inlineStr">
        <is>
          <t>عمولة 21% على طلب لا توصيل فيه؛ العميل يدفع 0.96×(سعر مباشر) إن كان HS +20% ← يسحب عملاء الاستلام المباشر ويحوّلهم لعمولة</t>
        </is>
      </c>
    </row>
    <row r="402">
      <c r="A402" t="inlineStr">
        <is>
          <t>خصومات/حملات مفروضة</t>
        </is>
      </c>
      <c r="B402" t="inlineStr">
        <is>
          <t>متوسطة</t>
        </is>
      </c>
      <c r="C402" t="inlineStr">
        <is>
          <t>العقد لا يذكر حملات الخصم على الطلبات التوصيل؛ الشروط العامة قد تتضمنها (غير مرفقة)</t>
        </is>
      </c>
    </row>
    <row r="403">
      <c r="A403" t="inlineStr">
        <is>
          <t>وثيقة «الشروط والأحكام العامة» (رابط) غير مرفقة، ولها أولوية 2 بعد العقد ويمكن تعديلها</t>
        </is>
      </c>
      <c r="B403" t="inlineStr">
        <is>
          <t>عالية</t>
        </is>
      </c>
      <c r="C403" t="inlineStr">
        <is>
          <t>قد تحتوي غرامات إلغاء/استرجاع/تعويض عملاء/تسوية مدفوعات لا نعرفها</t>
        </is>
      </c>
    </row>
    <row r="404">
      <c r="A404" t="inlineStr">
        <is>
          <t>غموض خصم الاستلام: «يتحمل الطرف الثاني 2.5 كحد أقصى» ثم «ممول بالكامل من الأول»</t>
        </is>
      </c>
      <c r="B404" t="inlineStr">
        <is>
          <t>منخفضة</t>
        </is>
      </c>
      <c r="C404" t="inlineStr">
        <is>
          <t>فرق أقصاه 2.5 ريال/طلب استلام</t>
        </is>
      </c>
    </row>
    <row r="405">
      <c r="A405" t="inlineStr">
        <is>
          <t>محاكم الرياض والمطعم في جازان</t>
        </is>
      </c>
      <c r="B405" t="inlineStr">
        <is>
          <t>منخفضة</t>
        </is>
      </c>
      <c r="C405" t="inlineStr">
        <is>
          <t>تكلفة تقاضٍ عالية نسبياً لكن احتمال النزاع الفعلي محدود</t>
        </is>
      </c>
    </row>
    <row r="406">
      <c r="A406" t="inlineStr">
        <is>
          <t>مستند يبدو غير موقّع (خانات \Name1\ \s1\) وتاريخ رسوم يبدأ 30/09/2026</t>
        </is>
      </c>
      <c r="B406" t="inlineStr">
        <is>
          <t>متوسطة</t>
        </is>
      </c>
      <c r="C406" t="inlineStr">
        <is>
          <t>قد تبدأ الرسوم والعقد من تاريخ يسبق قرارك</t>
        </is>
      </c>
    </row>
    <row r="408">
      <c r="A408" s="6" t="inlineStr">
        <is>
          <t>11) لوحة القرار — ملخص صفقة هنقرستيشن</t>
        </is>
      </c>
    </row>
    <row r="409">
      <c r="A409" t="inlineStr">
        <is>
          <t>المؤشر</t>
        </is>
      </c>
      <c r="B409" t="inlineStr">
        <is>
          <t>القيمة</t>
        </is>
      </c>
    </row>
    <row r="410">
      <c r="A410" t="inlineStr">
        <is>
          <t>العمولة</t>
        </is>
      </c>
      <c r="B410" t="inlineStr">
        <is>
          <t>21% توصيل · 21% استلام (على إجمالي الطلب)</t>
        </is>
      </c>
    </row>
    <row r="411">
      <c r="A411" t="inlineStr">
        <is>
          <t>رسوم الدفع</t>
        </is>
      </c>
      <c r="B411" t="inlineStr">
        <is>
          <t>2.5% (قد لا تنطبق على النقدي — غير محدد)</t>
        </is>
      </c>
    </row>
    <row r="412">
      <c r="A412" t="inlineStr">
        <is>
          <t>الرسوم الثابتة</t>
        </is>
      </c>
      <c r="B412" t="inlineStr">
        <is>
          <t>اشتراك 200 ريال (غامض) + طابعة 500 مرة واحدة ≈ 242 ريال/شهر</t>
        </is>
      </c>
    </row>
    <row r="413">
      <c r="A413" t="inlineStr">
        <is>
          <t>مساهمة التوصيل</t>
        </is>
      </c>
      <c r="B413" t="inlineStr">
        <is>
          <t>7 / 8 / 9 / 11 / 13 ريال حسب السلة (≥80 = 13) — أقل من 30 غير محدد</t>
        </is>
      </c>
    </row>
    <row r="414">
      <c r="A414" t="inlineStr">
        <is>
          <t>انكشاف HPlus</t>
        </is>
      </c>
      <c r="B414" t="inlineStr">
        <is>
          <t>+4 ريال/طلب بنسبة لا تتحكم بها</t>
        </is>
      </c>
    </row>
    <row r="415">
      <c r="A415" t="inlineStr">
        <is>
          <t>متوسط زيادتك الحالية</t>
        </is>
      </c>
      <c r="B415" t="inlineStr">
        <is>
          <t>+20% (44 صنفاً؛ 10 أصناف زيادتها 0–14.3% يدوياً)</t>
        </is>
      </c>
    </row>
    <row r="416">
      <c r="A416" t="inlineStr">
        <is>
          <t>الزيادة التقريبية المطلوبة للتعادل</t>
        </is>
      </c>
      <c r="B416" t="inlineStr">
        <is>
          <t>+37% بالنسب فقط؛ +47% إلى +84% شاملة التوصيل (سلة 100: +57.5%) ؛ +31% بالنسب فقط لو العمولة قبل الضريبة</t>
        </is>
      </c>
    </row>
    <row r="417">
      <c r="A417" t="inlineStr">
        <is>
          <t>AOV الحرج</t>
        </is>
      </c>
      <c r="B417" t="inlineStr">
        <is>
          <t>≈34 ريال (بدون HPlus) · ≈56 ريال (HPlus كامل) عند +20% وتكلفة 32%+2</t>
        </is>
      </c>
    </row>
    <row r="418">
      <c r="A418" t="inlineStr">
        <is>
          <t>المتبقي للمطعم من كل 100 ريال مبيعات</t>
        </is>
      </c>
      <c r="B418" t="inlineStr">
        <is>
          <t>سلة 60: 45.1 · سلة 100: 50.5 · حد أقصى (بلا توصيل): 63.5 ← مقابل 86.96 مباشرة</t>
        </is>
      </c>
    </row>
    <row r="419">
      <c r="A419" t="inlineStr">
        <is>
          <t>المتبقي من كل 100 ريال (HPlus)</t>
        </is>
      </c>
      <c r="B419" t="inlineStr">
        <is>
          <t>سلة 60: 38.5 · سلة 100: 46.5</t>
        </is>
      </c>
    </row>
    <row r="420">
      <c r="A420" t="inlineStr">
        <is>
          <t>بعد تكلفة طعام+تغليف 32%+2 (CM لكل 100 مدفوعة)</t>
        </is>
      </c>
      <c r="B420" t="inlineStr">
        <is>
          <t>سلة 60: 18.6 · سلة 100: 25.3</t>
        </is>
      </c>
    </row>
    <row r="422">
      <c r="A422" s="6" t="inlineStr">
        <is>
          <t>شروط يكون القبول فيها منطقياً ماليّاً</t>
        </is>
      </c>
    </row>
    <row r="424">
      <c r="A424" s="6" t="inlineStr">
        <is>
          <t>شروط يصبح فيها الاتفاق غير جذاب</t>
        </is>
      </c>
    </row>
    <row r="426">
      <c r="A426" s="6" t="inlineStr">
        <is>
          <t>12) قائمة الأسئلة قبل التوقيع</t>
        </is>
      </c>
    </row>
    <row r="428">
      <c r="A428" s="6" t="inlineStr">
        <is>
          <t>13) التحقق الثاني — تعارضات وفجوات (لم أخترْ بصمت)</t>
        </is>
      </c>
    </row>
    <row r="429">
      <c r="A429" t="inlineStr">
        <is>
          <t>البند</t>
        </is>
      </c>
      <c r="B429" t="inlineStr">
        <is>
          <t>التعارض/الفجوة</t>
        </is>
      </c>
      <c r="C429" t="inlineStr">
        <is>
          <t>كيف عالجته</t>
        </is>
      </c>
    </row>
    <row r="430">
      <c r="A430" t="inlineStr">
        <is>
          <t>أسعار الإكسل مقابل المنيو</t>
        </is>
      </c>
      <c r="B430" t="inlineStr">
        <is>
          <t>52 صنفاً متطابقاً: عمود D أعلى من المنيو بين +25% و+100% (متوسط +36.5%؛ مثال: حنيذ بيتنا 80 ← 105 ← HS 126)؛ وسعر HS أعلى من المنيو بمتوسط +61%</t>
        </is>
      </c>
      <c r="C430" t="inlineStr">
        <is>
          <t>**قرار مالك:** هل سعر البيع المباشر الفعلي هو المنيو (فتكون الزيادة الحقيقية في HS ≈+60%) أم الإكسل؟ اعتمدت D</t>
        </is>
      </c>
    </row>
    <row r="431">
      <c r="A431" t="inlineStr">
        <is>
          <t>أصناف في الإكسل بسعر HS يدوي</t>
        </is>
      </c>
      <c r="B431" t="inlineStr">
        <is>
          <t>10 أصناف لا يساوي F فيها D×1.2: سلطة خضراء (+12.5%)، زبادي خيار/سحاوق/حبحب/زبادي مصلح/دقيق/خمير (+14.3%)، بيبسي/لبن/ماء (0%)</t>
        </is>
      </c>
      <c r="C431" t="inlineStr">
        <is>
          <t>اعتمدت F كما هو</t>
        </is>
      </c>
    </row>
    <row r="432">
      <c r="A432" t="inlineStr">
        <is>
          <t>أسعار مفقودة</t>
        </is>
      </c>
      <c r="B432" t="inlineStr">
        <is>
          <t>«حمضيات» و«سفن اب»: لا يوجد D (F=4 مكتوب يدوياً؛ المنيو 2.5)</t>
        </is>
      </c>
      <c r="C432" t="inlineStr">
        <is>
          <t>استخدمت 2.5 كسعر مباشر</t>
        </is>
      </c>
    </row>
    <row r="433">
      <c r="A433" t="inlineStr">
        <is>
          <t>نوع البيانات</t>
        </is>
      </c>
      <c r="B433" t="inlineStr">
        <is>
          <t>أسعار D للصفوف 43–57 مخزنة كنص ('10') لا أرقام (تعمل الصيغة لكنها خطأ شكلي)</t>
        </is>
      </c>
      <c r="C433" t="inlineStr">
        <is>
          <t>—</t>
        </is>
      </c>
    </row>
    <row r="434">
      <c r="A434" t="inlineStr">
        <is>
          <t>أصناف بالمنيو وليست في الإكسل</t>
        </is>
      </c>
      <c r="B434" t="inlineStr">
        <is>
          <t>بامية 7 · دبة مكشن 15 · دقوس كبير 13 · طحينة 5 · ديو 2.5 · حيسية لحوح سادة 12 · حيسية دقيق سادة 12 · مقلي سمك 50 · مرسة سمن سكر 10 (9 أصناف)</t>
        </is>
      </c>
      <c r="C434" t="inlineStr">
        <is>
          <t>لم تُحلل أسعارها لعدم وجود سعر HS مقترح؛ المنيو 64 صنفاً</t>
        </is>
      </c>
    </row>
    <row r="435">
      <c r="A435" t="inlineStr">
        <is>
          <t>أصناف بالإكسل وليست في المنيو</t>
        </is>
      </c>
      <c r="B435" t="inlineStr">
        <is>
          <t>حبة مقلوبة (55) · مرسة دخن (33)</t>
        </is>
      </c>
      <c r="C435" t="inlineStr">
        <is>
          <t>—</t>
        </is>
      </c>
    </row>
    <row r="436">
      <c r="A436" t="inlineStr">
        <is>
          <t>ورقة «الجدول 1»</t>
        </is>
      </c>
      <c r="B436" t="inlineStr">
        <is>
          <t>تحتوي العنوان فقط، بلا بيانات</t>
        </is>
      </c>
      <c r="C436" t="inlineStr">
        <is>
          <t>—</t>
        </is>
      </c>
    </row>
    <row r="437">
      <c r="A437" t="inlineStr">
        <is>
          <t>تناقض ص2 مقابل ص3</t>
        </is>
      </c>
      <c r="B437" t="inlineStr">
        <is>
          <t>ص2: تعديل بإشعار 14 يوماً؛ ص3: التعديلات التجارية نافذة فور الإرسال؛ النص الإنجليزي «without prior written notice … upon (14 days) notice» متناقض مع العربي</t>
        </is>
      </c>
      <c r="C437" t="inlineStr">
        <is>
          <t>افترضت الأسوأ (فوري)</t>
        </is>
      </c>
    </row>
    <row r="438">
      <c r="A438" t="inlineStr">
        <is>
          <t>خصم الاستلام</t>
        </is>
      </c>
      <c r="B438" t="inlineStr">
        <is>
          <t>«يتحمل الطرف الثاني 2.5 كحد أقصى… الخصم ممول بالكامل من الطرف الأول»</t>
        </is>
      </c>
      <c r="C438" t="inlineStr">
        <is>
          <t>قرأتها: المطعم 2.5 والباقي على المنصة</t>
        </is>
      </c>
    </row>
    <row r="439">
      <c r="A439" t="inlineStr">
        <is>
          <t>الاشتراك الشهري</t>
        </is>
      </c>
      <c r="B439" t="inlineStr">
        <is>
          <t>اسم «رسوم اشتراك شهرية» لكن المبلغ 200 والتواريخ 01/10/2026–01/02/2027</t>
        </is>
      </c>
      <c r="C439" t="inlineStr">
        <is>
          <t>حسبت 200 شهرياً (متحفظ)</t>
        </is>
      </c>
    </row>
    <row r="440">
      <c r="A440" t="inlineStr">
        <is>
          <t>فراغ شرائح</t>
        </is>
      </c>
      <c r="B440" t="inlineStr">
        <is>
          <t>لا شريحة لأقل من 30 ريال</t>
        </is>
      </c>
      <c r="C440" t="inlineStr">
        <is>
          <t>افترضت 7</t>
        </is>
      </c>
    </row>
    <row r="441">
      <c r="A441" t="inlineStr">
        <is>
          <t>بيانات المنشأة</t>
        </is>
      </c>
      <c r="B441" t="inlineStr">
        <is>
          <t>اسم المالك «حسن» (الاسم التجاري) مقابل «حسين» (المخول بالتوقيع)؛ هاتف العقد 0558950877 مقابل المنيو 0507083107؛ العقد مؤرخ 30/09/2026 وخانات توقيع الطرف الثاني فارغة (\Name1\ \s1\)</t>
        </is>
      </c>
      <c r="C441" t="inlineStr">
        <is>
          <t>للتدقيق فقط</t>
        </is>
      </c>
    </row>
    <row r="442">
      <c r="A442" t="inlineStr">
        <is>
          <t>اللقطة المرفقة مقابل العقد</t>
        </is>
      </c>
      <c r="B442" t="inlineStr">
        <is>
          <t>جدول الشرائح 7/8/9/11/13 وبند HPlus 4 ريال وشمول الضريبة مطابقة تماماً لص5–ص6</t>
        </is>
      </c>
      <c r="C442" t="inlineStr">
        <is>
          <t>لا تعارض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2026-10-01T22:14:00Z</dcterms:created>
  <dcterms:modified xsi:type="dcterms:W3CDTF">2026-10-01T22:14:01Z</dcterms:modified>
</cp:coreProperties>
</file>